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274bc06fa9d18bea/Desktop/Coding ninja/Projects/Excel/National-Air-Quality-Analysis/"/>
    </mc:Choice>
  </mc:AlternateContent>
  <xr:revisionPtr revIDLastSave="1" documentId="13_ncr:1_{4E776FFE-D428-427A-8614-5E8469450029}" xr6:coauthVersionLast="47" xr6:coauthVersionMax="47" xr10:uidLastSave="{2286B078-5D8B-41BA-AD7F-7C2D31F825A6}"/>
  <bookViews>
    <workbookView xWindow="-120" yWindow="-120" windowWidth="20730" windowHeight="11160" activeTab="3" xr2:uid="{6421983D-878C-4FB4-B951-90A432D216C1}"/>
  </bookViews>
  <sheets>
    <sheet name="Row Data" sheetId="1" r:id="rId1"/>
    <sheet name="Clean Data" sheetId="2" r:id="rId2"/>
    <sheet name="Analysis" sheetId="6" r:id="rId3"/>
    <sheet name="Dashboard" sheetId="4" r:id="rId4"/>
  </sheets>
  <definedNames>
    <definedName name="_xlcn.WorksheetConnection_CleanDataA1P171" hidden="1">'Clean Data'!$A$1:$P$17</definedName>
    <definedName name="Slicer_AQI_Bucket">#N/A</definedName>
    <definedName name="Slicer_City">#N/A</definedName>
    <definedName name="Slicer_Year">#N/A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lean Data!$A$1:$P$1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 l="1"/>
  <c r="E12" i="2"/>
  <c r="E13" i="2"/>
  <c r="E14" i="2"/>
  <c r="E15" i="2"/>
  <c r="E16" i="2"/>
  <c r="E17" i="2"/>
  <c r="E3" i="2"/>
  <c r="E4" i="2"/>
  <c r="E5" i="2"/>
  <c r="E6" i="2"/>
  <c r="E7" i="2"/>
  <c r="E8" i="2"/>
  <c r="E9" i="2"/>
  <c r="E10" i="2"/>
  <c r="E11" i="2"/>
  <c r="D3" i="2"/>
  <c r="D4" i="2"/>
  <c r="D5" i="2"/>
  <c r="D6" i="2"/>
  <c r="D7" i="2"/>
  <c r="D8" i="2"/>
  <c r="D9" i="2"/>
  <c r="D10" i="2"/>
  <c r="D11" i="2"/>
  <c r="D12" i="2"/>
  <c r="D13" i="2"/>
  <c r="D14" i="2"/>
  <c r="D15" i="2"/>
  <c r="D16" i="2"/>
  <c r="D17" i="2"/>
  <c r="C16" i="2"/>
  <c r="C17" i="2"/>
  <c r="C10" i="2"/>
  <c r="C11" i="2"/>
  <c r="C12" i="2"/>
  <c r="C13" i="2"/>
  <c r="C14" i="2"/>
  <c r="C15" i="2"/>
  <c r="C3" i="2"/>
  <c r="C4" i="2"/>
  <c r="C5" i="2"/>
  <c r="C6" i="2"/>
  <c r="C7" i="2"/>
  <c r="C8" i="2"/>
  <c r="C9" i="2"/>
  <c r="E2"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0B11B-219E-47F3-8A38-1FA01BFA707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3C2B1A-292C-463B-83D3-F9A4236EDA8C}" name="WorksheetConnection_Clean Data!$A$1:$P$17" type="102" refreshedVersion="7" minRefreshableVersion="5">
    <extLst>
      <ext xmlns:x15="http://schemas.microsoft.com/office/spreadsheetml/2010/11/main" uri="{DE250136-89BD-433C-8126-D09CA5730AF9}">
        <x15:connection id="Range" autoDelete="1">
          <x15:rangePr sourceName="_xlcn.WorksheetConnection_CleanDataA1P171"/>
        </x15:connection>
      </ext>
    </extLst>
  </connection>
</connections>
</file>

<file path=xl/sharedStrings.xml><?xml version="1.0" encoding="utf-8"?>
<sst xmlns="http://schemas.openxmlformats.org/spreadsheetml/2006/main" count="166" uniqueCount="49">
  <si>
    <t>City</t>
  </si>
  <si>
    <t>Date</t>
  </si>
  <si>
    <t>PM2.5</t>
  </si>
  <si>
    <t>PM10</t>
  </si>
  <si>
    <t>NO</t>
  </si>
  <si>
    <t>NO2</t>
  </si>
  <si>
    <t>NOx</t>
  </si>
  <si>
    <t>NH3</t>
  </si>
  <si>
    <t>CO</t>
  </si>
  <si>
    <t>SO2</t>
  </si>
  <si>
    <t>O3</t>
  </si>
  <si>
    <t>AQI</t>
  </si>
  <si>
    <t>AQI_Bucket</t>
  </si>
  <si>
    <t>Bengaluru</t>
  </si>
  <si>
    <t>Good</t>
  </si>
  <si>
    <t>Satisfactory</t>
  </si>
  <si>
    <t>NA</t>
  </si>
  <si>
    <t>Delhi</t>
  </si>
  <si>
    <t>Very Poor</t>
  </si>
  <si>
    <t>Poor</t>
  </si>
  <si>
    <t>Severe</t>
  </si>
  <si>
    <t>Gurugram</t>
  </si>
  <si>
    <t>Moderate</t>
  </si>
  <si>
    <t>Hyderabad</t>
  </si>
  <si>
    <t>Kolkata</t>
  </si>
  <si>
    <t>Year</t>
  </si>
  <si>
    <t>Month</t>
  </si>
  <si>
    <t>Month Number</t>
  </si>
  <si>
    <t>March</t>
  </si>
  <si>
    <t>June</t>
  </si>
  <si>
    <t>October</t>
  </si>
  <si>
    <t>November</t>
  </si>
  <si>
    <t>January</t>
  </si>
  <si>
    <t>September</t>
  </si>
  <si>
    <t>August</t>
  </si>
  <si>
    <t>Grand Total</t>
  </si>
  <si>
    <t>Average of AQI</t>
  </si>
  <si>
    <t>Count of AQI_Bucket</t>
  </si>
  <si>
    <t>Average of PM2.5</t>
  </si>
  <si>
    <t>Average of PM10</t>
  </si>
  <si>
    <t>NATIONAL AIR QUALITY DASHBOARD</t>
  </si>
  <si>
    <t>Average AQI by City</t>
  </si>
  <si>
    <t>Monthly average AQI</t>
  </si>
  <si>
    <t>AQI_Bucket Distribution</t>
  </si>
  <si>
    <t>Average PM2.5 by City</t>
  </si>
  <si>
    <t>Average PM10 by Ciy</t>
  </si>
  <si>
    <t>Dashoard Created by: Suhadip Gorai</t>
  </si>
  <si>
    <t>Date: 19-jul-2026</t>
  </si>
  <si>
    <t>Data Source: National Air Quality Dataset (CPBP)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</si>
</sst>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family val="2"/>
    </font>
    <font>
      <sz val="11"/>
      <color theme="1"/>
      <name val="Arial"/>
      <family val="2"/>
    </font>
    <font>
      <sz val="10"/>
      <color theme="1"/>
      <name val="Arial"/>
      <family val="2"/>
    </font>
    <font>
      <b/>
      <i/>
      <sz val="11"/>
      <color theme="1"/>
      <name val="Calibri"/>
      <family val="2"/>
      <scheme val="minor"/>
    </font>
    <font>
      <b/>
      <sz val="24"/>
      <color theme="0"/>
      <name val="Calibri"/>
      <family val="2"/>
      <scheme val="minor"/>
    </font>
    <font>
      <b/>
      <sz val="12"/>
      <color theme="1"/>
      <name val="Calibri"/>
      <family val="2"/>
      <scheme val="minor"/>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theme="4" tint="-0.24997711111789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9">
    <xf numFmtId="0" fontId="0" fillId="0" borderId="0" xfId="0"/>
    <xf numFmtId="0" fontId="1" fillId="2" borderId="1" xfId="0" applyFont="1" applyFill="1" applyBorder="1" applyAlignment="1">
      <alignment wrapText="1"/>
    </xf>
    <xf numFmtId="0" fontId="2" fillId="3" borderId="1" xfId="0" applyFont="1" applyFill="1" applyBorder="1" applyAlignment="1">
      <alignment wrapText="1"/>
    </xf>
    <xf numFmtId="14" fontId="0" fillId="0" borderId="0" xfId="0" applyNumberFormat="1"/>
    <xf numFmtId="14" fontId="2" fillId="3" borderId="1" xfId="0" applyNumberFormat="1" applyFont="1" applyFill="1" applyBorder="1" applyAlignment="1">
      <alignment horizontal="right" wrapText="1"/>
    </xf>
    <xf numFmtId="0" fontId="2" fillId="3" borderId="1" xfId="0" applyFont="1" applyFill="1" applyBorder="1" applyAlignment="1">
      <alignment horizontal="right" wrapText="1"/>
    </xf>
    <xf numFmtId="0" fontId="1" fillId="3" borderId="1" xfId="0" applyFont="1" applyFill="1" applyBorder="1" applyAlignment="1">
      <alignment horizontal="right" wrapText="1"/>
    </xf>
    <xf numFmtId="0" fontId="3" fillId="3" borderId="1" xfId="0" applyFont="1" applyFill="1" applyBorder="1" applyAlignment="1">
      <alignment wrapText="1"/>
    </xf>
    <xf numFmtId="14" fontId="1" fillId="2" borderId="1" xfId="0" applyNumberFormat="1" applyFont="1" applyFill="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1" fillId="2" borderId="1" xfId="0" applyNumberFormat="1" applyFont="1" applyFill="1" applyBorder="1" applyAlignment="1">
      <alignment wrapText="1"/>
    </xf>
    <xf numFmtId="0" fontId="2" fillId="3" borderId="1" xfId="0" applyNumberFormat="1" applyFont="1" applyFill="1" applyBorder="1" applyAlignment="1">
      <alignment horizontal="right" wrapText="1"/>
    </xf>
    <xf numFmtId="0" fontId="6" fillId="0" borderId="0" xfId="0" applyFont="1"/>
    <xf numFmtId="0" fontId="4" fillId="0" borderId="0" xfId="0" applyFont="1" applyAlignment="1">
      <alignment horizontal="center"/>
    </xf>
    <xf numFmtId="0" fontId="6" fillId="0" borderId="0" xfId="0" applyFont="1"/>
    <xf numFmtId="0" fontId="5" fillId="4" borderId="0" xfId="0" applyFont="1" applyFill="1" applyAlignment="1">
      <alignment horizontal="center" vertical="center"/>
    </xf>
    <xf numFmtId="0" fontId="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effectLst/>
              </a:rPr>
              <a:t>Average AQI by City</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Analysis!$A$4:$A$8</c:f>
              <c:strCache>
                <c:ptCount val="4"/>
                <c:pt idx="0">
                  <c:v>Bengaluru</c:v>
                </c:pt>
                <c:pt idx="1">
                  <c:v>Delhi</c:v>
                </c:pt>
                <c:pt idx="2">
                  <c:v>Hyderabad</c:v>
                </c:pt>
                <c:pt idx="3">
                  <c:v>Kolkata</c:v>
                </c:pt>
              </c:strCache>
            </c:strRef>
          </c:cat>
          <c:val>
            <c:numRef>
              <c:f>Analysis!$B$4:$B$8</c:f>
              <c:numCache>
                <c:formatCode>General</c:formatCode>
                <c:ptCount val="4"/>
                <c:pt idx="0">
                  <c:v>65.666666666666671</c:v>
                </c:pt>
                <c:pt idx="1">
                  <c:v>316.60000000000002</c:v>
                </c:pt>
                <c:pt idx="2">
                  <c:v>143</c:v>
                </c:pt>
                <c:pt idx="3">
                  <c:v>164.6</c:v>
                </c:pt>
              </c:numCache>
            </c:numRef>
          </c:val>
          <c:extLst>
            <c:ext xmlns:c16="http://schemas.microsoft.com/office/drawing/2014/chart" uri="{C3380CC4-5D6E-409C-BE32-E72D297353CC}">
              <c16:uniqueId val="{00000000-891A-497C-9FED-57277BE0DB3F}"/>
            </c:ext>
          </c:extLst>
        </c:ser>
        <c:dLbls>
          <c:showLegendKey val="0"/>
          <c:showVal val="0"/>
          <c:showCatName val="0"/>
          <c:showSerName val="0"/>
          <c:showPercent val="0"/>
          <c:showBubbleSize val="0"/>
        </c:dLbls>
        <c:gapWidth val="219"/>
        <c:overlap val="-27"/>
        <c:axId val="1953138384"/>
        <c:axId val="1953129648"/>
      </c:barChart>
      <c:catAx>
        <c:axId val="19531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29648"/>
        <c:crosses val="autoZero"/>
        <c:auto val="1"/>
        <c:lblAlgn val="ctr"/>
        <c:lblOffset val="100"/>
        <c:noMultiLvlLbl val="0"/>
      </c:catAx>
      <c:valAx>
        <c:axId val="19531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3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 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effectLst/>
              </a:rPr>
              <a:t>Monthly average AQI Trend</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Total</c:v>
                </c:pt>
              </c:strCache>
            </c:strRef>
          </c:tx>
          <c:spPr>
            <a:ln w="28575" cap="rnd">
              <a:solidFill>
                <a:schemeClr val="accent1"/>
              </a:solidFill>
              <a:round/>
            </a:ln>
            <a:effectLst/>
          </c:spPr>
          <c:marker>
            <c:symbol val="none"/>
          </c:marker>
          <c:cat>
            <c:strRef>
              <c:f>Analysis!$D$4:$D$11</c:f>
              <c:strCache>
                <c:ptCount val="7"/>
                <c:pt idx="0">
                  <c:v>August</c:v>
                </c:pt>
                <c:pt idx="1">
                  <c:v>January</c:v>
                </c:pt>
                <c:pt idx="2">
                  <c:v>June</c:v>
                </c:pt>
                <c:pt idx="3">
                  <c:v>March</c:v>
                </c:pt>
                <c:pt idx="4">
                  <c:v>November</c:v>
                </c:pt>
                <c:pt idx="5">
                  <c:v>October</c:v>
                </c:pt>
                <c:pt idx="6">
                  <c:v>September</c:v>
                </c:pt>
              </c:strCache>
            </c:strRef>
          </c:cat>
          <c:val>
            <c:numRef>
              <c:f>Analysis!$E$4:$E$11</c:f>
              <c:numCache>
                <c:formatCode>General</c:formatCode>
                <c:ptCount val="7"/>
                <c:pt idx="0">
                  <c:v>49</c:v>
                </c:pt>
                <c:pt idx="1">
                  <c:v>91</c:v>
                </c:pt>
                <c:pt idx="2">
                  <c:v>121</c:v>
                </c:pt>
                <c:pt idx="3">
                  <c:v>193.66666666666666</c:v>
                </c:pt>
                <c:pt idx="4">
                  <c:v>415</c:v>
                </c:pt>
                <c:pt idx="5">
                  <c:v>228.14285714285714</c:v>
                </c:pt>
                <c:pt idx="6">
                  <c:v>57</c:v>
                </c:pt>
              </c:numCache>
            </c:numRef>
          </c:val>
          <c:smooth val="0"/>
          <c:extLst>
            <c:ext xmlns:c16="http://schemas.microsoft.com/office/drawing/2014/chart" uri="{C3380CC4-5D6E-409C-BE32-E72D297353CC}">
              <c16:uniqueId val="{00000000-7BEB-4469-A5BE-4503479027EC}"/>
            </c:ext>
          </c:extLst>
        </c:ser>
        <c:dLbls>
          <c:showLegendKey val="0"/>
          <c:showVal val="0"/>
          <c:showCatName val="0"/>
          <c:showSerName val="0"/>
          <c:showPercent val="0"/>
          <c:showBubbleSize val="0"/>
        </c:dLbls>
        <c:smooth val="0"/>
        <c:axId val="2035727632"/>
        <c:axId val="2035701424"/>
      </c:lineChart>
      <c:catAx>
        <c:axId val="20357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01424"/>
        <c:crosses val="autoZero"/>
        <c:auto val="1"/>
        <c:lblAlgn val="ctr"/>
        <c:lblOffset val="100"/>
        <c:noMultiLvlLbl val="0"/>
      </c:catAx>
      <c:valAx>
        <c:axId val="20357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effectLst/>
              </a:rPr>
              <a:t>AQI_Bucket Distribution</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EC-4D67-AAB1-614CD55679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EC-4D67-AAB1-614CD55679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EC-4D67-AAB1-614CD55679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EC-4D67-AAB1-614CD55679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EC-4D67-AAB1-614CD55679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EC-4D67-AAB1-614CD556795C}"/>
              </c:ext>
            </c:extLst>
          </c:dPt>
          <c:cat>
            <c:strRef>
              <c:f>Analysis!$D$17:$D$23</c:f>
              <c:strCache>
                <c:ptCount val="6"/>
                <c:pt idx="0">
                  <c:v>Good</c:v>
                </c:pt>
                <c:pt idx="1">
                  <c:v>Moderate</c:v>
                </c:pt>
                <c:pt idx="2">
                  <c:v>Poor</c:v>
                </c:pt>
                <c:pt idx="3">
                  <c:v>Satisfactory</c:v>
                </c:pt>
                <c:pt idx="4">
                  <c:v>Severe</c:v>
                </c:pt>
                <c:pt idx="5">
                  <c:v>Very Poor</c:v>
                </c:pt>
              </c:strCache>
            </c:strRef>
          </c:cat>
          <c:val>
            <c:numRef>
              <c:f>Analysis!$E$17:$E$23</c:f>
              <c:numCache>
                <c:formatCode>General</c:formatCode>
                <c:ptCount val="6"/>
                <c:pt idx="0">
                  <c:v>1</c:v>
                </c:pt>
                <c:pt idx="1">
                  <c:v>3</c:v>
                </c:pt>
                <c:pt idx="2">
                  <c:v>5</c:v>
                </c:pt>
                <c:pt idx="3">
                  <c:v>4</c:v>
                </c:pt>
                <c:pt idx="4">
                  <c:v>1</c:v>
                </c:pt>
                <c:pt idx="5">
                  <c:v>2</c:v>
                </c:pt>
              </c:numCache>
            </c:numRef>
          </c:val>
          <c:extLst>
            <c:ext xmlns:c16="http://schemas.microsoft.com/office/drawing/2014/chart" uri="{C3380CC4-5D6E-409C-BE32-E72D297353CC}">
              <c16:uniqueId val="{00000000-D271-4D1A-82B7-00CF29EC52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Average</a:t>
            </a:r>
            <a:r>
              <a:rPr lang="en-US" baseline="0">
                <a:solidFill>
                  <a:schemeClr val="tx1">
                    <a:lumMod val="95000"/>
                    <a:lumOff val="5000"/>
                  </a:schemeClr>
                </a:solidFill>
              </a:rPr>
              <a:t> PM2.5 by City</a:t>
            </a:r>
            <a:endParaRPr lang="en-US">
              <a:solidFill>
                <a:schemeClr val="tx1">
                  <a:lumMod val="95000"/>
                  <a:lumOff val="5000"/>
                </a:schemeClr>
              </a:solidFill>
            </a:endParaRPr>
          </a:p>
        </c:rich>
      </c:tx>
      <c:layout>
        <c:manualLayout>
          <c:xMode val="edge"/>
          <c:yMode val="edge"/>
          <c:x val="0.5033854166666667"/>
          <c:y val="8.0920654149000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Analysis!$A$16:$A$20</c:f>
              <c:strCache>
                <c:ptCount val="4"/>
                <c:pt idx="0">
                  <c:v>Bengaluru</c:v>
                </c:pt>
                <c:pt idx="1">
                  <c:v>Delhi</c:v>
                </c:pt>
                <c:pt idx="2">
                  <c:v>Hyderabad</c:v>
                </c:pt>
                <c:pt idx="3">
                  <c:v>Kolkata</c:v>
                </c:pt>
              </c:strCache>
            </c:strRef>
          </c:cat>
          <c:val>
            <c:numRef>
              <c:f>Analysis!$B$16:$B$20</c:f>
              <c:numCache>
                <c:formatCode>General</c:formatCode>
                <c:ptCount val="4"/>
                <c:pt idx="0">
                  <c:v>34.653333333333336</c:v>
                </c:pt>
                <c:pt idx="1">
                  <c:v>166.02600000000001</c:v>
                </c:pt>
                <c:pt idx="2">
                  <c:v>84.726666666666674</c:v>
                </c:pt>
                <c:pt idx="3">
                  <c:v>61.751999999999995</c:v>
                </c:pt>
              </c:numCache>
            </c:numRef>
          </c:val>
          <c:extLst>
            <c:ext xmlns:c16="http://schemas.microsoft.com/office/drawing/2014/chart" uri="{C3380CC4-5D6E-409C-BE32-E72D297353CC}">
              <c16:uniqueId val="{00000000-53AE-4DED-BFB8-AD0FA928AC35}"/>
            </c:ext>
          </c:extLst>
        </c:ser>
        <c:dLbls>
          <c:showLegendKey val="0"/>
          <c:showVal val="0"/>
          <c:showCatName val="0"/>
          <c:showSerName val="0"/>
          <c:showPercent val="0"/>
          <c:showBubbleSize val="0"/>
        </c:dLbls>
        <c:gapWidth val="182"/>
        <c:axId val="1888884752"/>
        <c:axId val="1888886000"/>
      </c:barChart>
      <c:catAx>
        <c:axId val="188888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6000"/>
        <c:crosses val="autoZero"/>
        <c:auto val="1"/>
        <c:lblAlgn val="ctr"/>
        <c:lblOffset val="100"/>
        <c:noMultiLvlLbl val="0"/>
      </c:catAx>
      <c:valAx>
        <c:axId val="188888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c:name>
    <c:fmtId val="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Average</a:t>
            </a:r>
            <a:r>
              <a:rPr lang="en-IN" baseline="0">
                <a:solidFill>
                  <a:schemeClr val="tx1"/>
                </a:solidFill>
              </a:rPr>
              <a:t> AQI by City</a:t>
            </a:r>
            <a:endParaRPr lang="en-IN">
              <a:solidFill>
                <a:schemeClr val="tx1"/>
              </a:solidFill>
            </a:endParaRPr>
          </a:p>
        </c:rich>
      </c:tx>
      <c:layout>
        <c:manualLayout>
          <c:xMode val="edge"/>
          <c:yMode val="edge"/>
          <c:x val="0.3747017857142857"/>
          <c:y val="4.2663888888888883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Analysis!$A$4:$A$8</c:f>
              <c:strCache>
                <c:ptCount val="4"/>
                <c:pt idx="0">
                  <c:v>Bengaluru</c:v>
                </c:pt>
                <c:pt idx="1">
                  <c:v>Delhi</c:v>
                </c:pt>
                <c:pt idx="2">
                  <c:v>Hyderabad</c:v>
                </c:pt>
                <c:pt idx="3">
                  <c:v>Kolkata</c:v>
                </c:pt>
              </c:strCache>
            </c:strRef>
          </c:cat>
          <c:val>
            <c:numRef>
              <c:f>Analysis!$B$4:$B$8</c:f>
              <c:numCache>
                <c:formatCode>General</c:formatCode>
                <c:ptCount val="4"/>
                <c:pt idx="0">
                  <c:v>65.666666666666671</c:v>
                </c:pt>
                <c:pt idx="1">
                  <c:v>316.60000000000002</c:v>
                </c:pt>
                <c:pt idx="2">
                  <c:v>143</c:v>
                </c:pt>
                <c:pt idx="3">
                  <c:v>164.6</c:v>
                </c:pt>
              </c:numCache>
            </c:numRef>
          </c:val>
          <c:extLst>
            <c:ext xmlns:c16="http://schemas.microsoft.com/office/drawing/2014/chart" uri="{C3380CC4-5D6E-409C-BE32-E72D297353CC}">
              <c16:uniqueId val="{00000000-2948-459B-843D-9AF934CEC228}"/>
            </c:ext>
          </c:extLst>
        </c:ser>
        <c:dLbls>
          <c:showLegendKey val="0"/>
          <c:showVal val="0"/>
          <c:showCatName val="0"/>
          <c:showSerName val="0"/>
          <c:showPercent val="0"/>
          <c:showBubbleSize val="0"/>
        </c:dLbls>
        <c:gapWidth val="219"/>
        <c:overlap val="-27"/>
        <c:axId val="1953138384"/>
        <c:axId val="1953129648"/>
      </c:barChart>
      <c:catAx>
        <c:axId val="19531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29648"/>
        <c:crosses val="autoZero"/>
        <c:auto val="1"/>
        <c:lblAlgn val="ctr"/>
        <c:lblOffset val="100"/>
        <c:noMultiLvlLbl val="0"/>
      </c:catAx>
      <c:valAx>
        <c:axId val="19531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3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 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Monthly</a:t>
            </a:r>
            <a:r>
              <a:rPr lang="en-US" baseline="0">
                <a:solidFill>
                  <a:schemeClr val="tx1"/>
                </a:solidFill>
              </a:rPr>
              <a:t> Average AQI Trend</a:t>
            </a:r>
            <a:endParaRPr lang="en-US">
              <a:solidFill>
                <a:schemeClr val="tx1"/>
              </a:solidFill>
            </a:endParaRPr>
          </a:p>
        </c:rich>
      </c:tx>
      <c:layout>
        <c:manualLayout>
          <c:xMode val="edge"/>
          <c:yMode val="edge"/>
          <c:x val="0.29225257936507937"/>
          <c:y val="2.977013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Total</c:v>
                </c:pt>
              </c:strCache>
            </c:strRef>
          </c:tx>
          <c:spPr>
            <a:ln w="28575" cap="rnd">
              <a:solidFill>
                <a:schemeClr val="accent1"/>
              </a:solidFill>
              <a:round/>
            </a:ln>
            <a:effectLst/>
          </c:spPr>
          <c:marker>
            <c:symbol val="none"/>
          </c:marker>
          <c:cat>
            <c:strRef>
              <c:f>Analysis!$D$4:$D$11</c:f>
              <c:strCache>
                <c:ptCount val="7"/>
                <c:pt idx="0">
                  <c:v>August</c:v>
                </c:pt>
                <c:pt idx="1">
                  <c:v>January</c:v>
                </c:pt>
                <c:pt idx="2">
                  <c:v>June</c:v>
                </c:pt>
                <c:pt idx="3">
                  <c:v>March</c:v>
                </c:pt>
                <c:pt idx="4">
                  <c:v>November</c:v>
                </c:pt>
                <c:pt idx="5">
                  <c:v>October</c:v>
                </c:pt>
                <c:pt idx="6">
                  <c:v>September</c:v>
                </c:pt>
              </c:strCache>
            </c:strRef>
          </c:cat>
          <c:val>
            <c:numRef>
              <c:f>Analysis!$E$4:$E$11</c:f>
              <c:numCache>
                <c:formatCode>General</c:formatCode>
                <c:ptCount val="7"/>
                <c:pt idx="0">
                  <c:v>49</c:v>
                </c:pt>
                <c:pt idx="1">
                  <c:v>91</c:v>
                </c:pt>
                <c:pt idx="2">
                  <c:v>121</c:v>
                </c:pt>
                <c:pt idx="3">
                  <c:v>193.66666666666666</c:v>
                </c:pt>
                <c:pt idx="4">
                  <c:v>415</c:v>
                </c:pt>
                <c:pt idx="5">
                  <c:v>228.14285714285714</c:v>
                </c:pt>
                <c:pt idx="6">
                  <c:v>57</c:v>
                </c:pt>
              </c:numCache>
            </c:numRef>
          </c:val>
          <c:smooth val="0"/>
          <c:extLst>
            <c:ext xmlns:c16="http://schemas.microsoft.com/office/drawing/2014/chart" uri="{C3380CC4-5D6E-409C-BE32-E72D297353CC}">
              <c16:uniqueId val="{00000000-B3C3-4010-B7BD-57470DC8A99B}"/>
            </c:ext>
          </c:extLst>
        </c:ser>
        <c:dLbls>
          <c:showLegendKey val="0"/>
          <c:showVal val="0"/>
          <c:showCatName val="0"/>
          <c:showSerName val="0"/>
          <c:showPercent val="0"/>
          <c:showBubbleSize val="0"/>
        </c:dLbls>
        <c:smooth val="0"/>
        <c:axId val="2035727632"/>
        <c:axId val="2035701424"/>
      </c:lineChart>
      <c:catAx>
        <c:axId val="20357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01424"/>
        <c:crosses val="autoZero"/>
        <c:auto val="1"/>
        <c:lblAlgn val="ctr"/>
        <c:lblOffset val="100"/>
        <c:noMultiLvlLbl val="0"/>
      </c:catAx>
      <c:valAx>
        <c:axId val="20357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AQI</a:t>
            </a:r>
            <a:r>
              <a:rPr lang="en-US" baseline="0">
                <a:solidFill>
                  <a:schemeClr val="tx1">
                    <a:lumMod val="95000"/>
                    <a:lumOff val="5000"/>
                  </a:schemeClr>
                </a:solidFill>
              </a:rPr>
              <a:t> Category Distribution</a:t>
            </a:r>
            <a:endParaRPr lang="en-US">
              <a:solidFill>
                <a:schemeClr val="tx1">
                  <a:lumMod val="95000"/>
                  <a:lumOff val="5000"/>
                </a:schemeClr>
              </a:solidFill>
            </a:endParaRPr>
          </a:p>
        </c:rich>
      </c:tx>
      <c:layout>
        <c:manualLayout>
          <c:xMode val="edge"/>
          <c:yMode val="edge"/>
          <c:x val="0.51973472222222217"/>
          <c:y val="3.21038194444444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D9-4C61-B6E7-AD5B3AB0727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BD9-4C61-B6E7-AD5B3AB0727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BD9-4C61-B6E7-AD5B3AB0727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5BD9-4C61-B6E7-AD5B3AB07272}"/>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5BD9-4C61-B6E7-AD5B3AB07272}"/>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5BD9-4C61-B6E7-AD5B3AB072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Analysis!$D$17:$D$23</c:f>
              <c:strCache>
                <c:ptCount val="6"/>
                <c:pt idx="0">
                  <c:v>Good</c:v>
                </c:pt>
                <c:pt idx="1">
                  <c:v>Moderate</c:v>
                </c:pt>
                <c:pt idx="2">
                  <c:v>Poor</c:v>
                </c:pt>
                <c:pt idx="3">
                  <c:v>Satisfactory</c:v>
                </c:pt>
                <c:pt idx="4">
                  <c:v>Severe</c:v>
                </c:pt>
                <c:pt idx="5">
                  <c:v>Very Poor</c:v>
                </c:pt>
              </c:strCache>
            </c:strRef>
          </c:cat>
          <c:val>
            <c:numRef>
              <c:f>Analysis!$E$17:$E$23</c:f>
              <c:numCache>
                <c:formatCode>General</c:formatCode>
                <c:ptCount val="6"/>
                <c:pt idx="0">
                  <c:v>1</c:v>
                </c:pt>
                <c:pt idx="1">
                  <c:v>3</c:v>
                </c:pt>
                <c:pt idx="2">
                  <c:v>5</c:v>
                </c:pt>
                <c:pt idx="3">
                  <c:v>4</c:v>
                </c:pt>
                <c:pt idx="4">
                  <c:v>1</c:v>
                </c:pt>
                <c:pt idx="5">
                  <c:v>2</c:v>
                </c:pt>
              </c:numCache>
            </c:numRef>
          </c:val>
          <c:extLst>
            <c:ext xmlns:c16="http://schemas.microsoft.com/office/drawing/2014/chart" uri="{C3380CC4-5D6E-409C-BE32-E72D297353CC}">
              <c16:uniqueId val="{0000000C-5BD9-4C61-B6E7-AD5B3AB07272}"/>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Average</a:t>
            </a:r>
            <a:r>
              <a:rPr lang="en-US" baseline="0">
                <a:solidFill>
                  <a:schemeClr val="tx1">
                    <a:lumMod val="95000"/>
                    <a:lumOff val="5000"/>
                  </a:schemeClr>
                </a:solidFill>
              </a:rPr>
              <a:t> PM2.5 by City</a:t>
            </a:r>
            <a:endParaRPr lang="en-US">
              <a:solidFill>
                <a:schemeClr val="tx1">
                  <a:lumMod val="95000"/>
                  <a:lumOff val="5000"/>
                </a:schemeClr>
              </a:solidFill>
            </a:endParaRPr>
          </a:p>
        </c:rich>
      </c:tx>
      <c:layout>
        <c:manualLayout>
          <c:xMode val="edge"/>
          <c:yMode val="edge"/>
          <c:x val="0.52354424603174599"/>
          <c:y val="2.8003819444444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Analysis!$A$16:$A$20</c:f>
              <c:strCache>
                <c:ptCount val="4"/>
                <c:pt idx="0">
                  <c:v>Bengaluru</c:v>
                </c:pt>
                <c:pt idx="1">
                  <c:v>Delhi</c:v>
                </c:pt>
                <c:pt idx="2">
                  <c:v>Hyderabad</c:v>
                </c:pt>
                <c:pt idx="3">
                  <c:v>Kolkata</c:v>
                </c:pt>
              </c:strCache>
            </c:strRef>
          </c:cat>
          <c:val>
            <c:numRef>
              <c:f>Analysis!$B$16:$B$20</c:f>
              <c:numCache>
                <c:formatCode>General</c:formatCode>
                <c:ptCount val="4"/>
                <c:pt idx="0">
                  <c:v>34.653333333333336</c:v>
                </c:pt>
                <c:pt idx="1">
                  <c:v>166.02600000000001</c:v>
                </c:pt>
                <c:pt idx="2">
                  <c:v>84.726666666666674</c:v>
                </c:pt>
                <c:pt idx="3">
                  <c:v>61.751999999999995</c:v>
                </c:pt>
              </c:numCache>
            </c:numRef>
          </c:val>
          <c:extLst>
            <c:ext xmlns:c16="http://schemas.microsoft.com/office/drawing/2014/chart" uri="{C3380CC4-5D6E-409C-BE32-E72D297353CC}">
              <c16:uniqueId val="{00000000-A69B-4E4B-8640-79FDCA448FB8}"/>
            </c:ext>
          </c:extLst>
        </c:ser>
        <c:dLbls>
          <c:showLegendKey val="0"/>
          <c:showVal val="0"/>
          <c:showCatName val="0"/>
          <c:showSerName val="0"/>
          <c:showPercent val="0"/>
          <c:showBubbleSize val="0"/>
        </c:dLbls>
        <c:gapWidth val="182"/>
        <c:axId val="1888884752"/>
        <c:axId val="1888886000"/>
      </c:barChart>
      <c:catAx>
        <c:axId val="188888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6000"/>
        <c:crosses val="autoZero"/>
        <c:auto val="1"/>
        <c:lblAlgn val="ctr"/>
        <c:lblOffset val="100"/>
        <c:noMultiLvlLbl val="0"/>
      </c:catAx>
      <c:valAx>
        <c:axId val="188888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280988</xdr:colOff>
      <xdr:row>1</xdr:row>
      <xdr:rowOff>47626</xdr:rowOff>
    </xdr:from>
    <xdr:to>
      <xdr:col>2</xdr:col>
      <xdr:colOff>3160988</xdr:colOff>
      <xdr:row>12</xdr:row>
      <xdr:rowOff>112126</xdr:rowOff>
    </xdr:to>
    <xdr:graphicFrame macro="">
      <xdr:nvGraphicFramePr>
        <xdr:cNvPr id="2" name="Chart 1">
          <a:extLst>
            <a:ext uri="{FF2B5EF4-FFF2-40B4-BE49-F238E27FC236}">
              <a16:creationId xmlns:a16="http://schemas.microsoft.com/office/drawing/2014/main" id="{C823FF43-23D0-42A2-8C39-AD0FE1463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323851</xdr:colOff>
      <xdr:row>1</xdr:row>
      <xdr:rowOff>38100</xdr:rowOff>
    </xdr:from>
    <xdr:to>
      <xdr:col>5</xdr:col>
      <xdr:colOff>3203851</xdr:colOff>
      <xdr:row>12</xdr:row>
      <xdr:rowOff>102600</xdr:rowOff>
    </xdr:to>
    <xdr:graphicFrame macro="">
      <xdr:nvGraphicFramePr>
        <xdr:cNvPr id="3" name="Chart 2">
          <a:extLst>
            <a:ext uri="{FF2B5EF4-FFF2-40B4-BE49-F238E27FC236}">
              <a16:creationId xmlns:a16="http://schemas.microsoft.com/office/drawing/2014/main" id="{72BE148F-BDAC-467A-A2C3-5FEB48F91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328613</xdr:colOff>
      <xdr:row>15</xdr:row>
      <xdr:rowOff>4762</xdr:rowOff>
    </xdr:from>
    <xdr:to>
      <xdr:col>5</xdr:col>
      <xdr:colOff>3208613</xdr:colOff>
      <xdr:row>26</xdr:row>
      <xdr:rowOff>69262</xdr:rowOff>
    </xdr:to>
    <xdr:graphicFrame macro="">
      <xdr:nvGraphicFramePr>
        <xdr:cNvPr id="4" name="Chart 3">
          <a:extLst>
            <a:ext uri="{FF2B5EF4-FFF2-40B4-BE49-F238E27FC236}">
              <a16:creationId xmlns:a16="http://schemas.microsoft.com/office/drawing/2014/main" id="{A88FB2B7-11E4-4881-AB26-3DBCE6EDC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13</xdr:row>
      <xdr:rowOff>161925</xdr:rowOff>
    </xdr:from>
    <xdr:to>
      <xdr:col>2</xdr:col>
      <xdr:colOff>3194325</xdr:colOff>
      <xdr:row>25</xdr:row>
      <xdr:rowOff>35925</xdr:rowOff>
    </xdr:to>
    <xdr:graphicFrame macro="">
      <xdr:nvGraphicFramePr>
        <xdr:cNvPr id="8" name="Chart 7">
          <a:extLst>
            <a:ext uri="{FF2B5EF4-FFF2-40B4-BE49-F238E27FC236}">
              <a16:creationId xmlns:a16="http://schemas.microsoft.com/office/drawing/2014/main" id="{F3E76949-2C87-49D3-9398-907CC971C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20</xdr:row>
      <xdr:rowOff>180973</xdr:rowOff>
    </xdr:from>
    <xdr:to>
      <xdr:col>9</xdr:col>
      <xdr:colOff>163200</xdr:colOff>
      <xdr:row>36</xdr:row>
      <xdr:rowOff>12973</xdr:rowOff>
    </xdr:to>
    <xdr:graphicFrame macro="">
      <xdr:nvGraphicFramePr>
        <xdr:cNvPr id="2" name="Chart 1">
          <a:extLst>
            <a:ext uri="{FF2B5EF4-FFF2-40B4-BE49-F238E27FC236}">
              <a16:creationId xmlns:a16="http://schemas.microsoft.com/office/drawing/2014/main" id="{2B4839BF-47B7-45A6-BC9C-10DEE9ABE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9526</xdr:colOff>
      <xdr:row>20</xdr:row>
      <xdr:rowOff>180973</xdr:rowOff>
    </xdr:from>
    <xdr:to>
      <xdr:col>19</xdr:col>
      <xdr:colOff>172726</xdr:colOff>
      <xdr:row>36</xdr:row>
      <xdr:rowOff>12973</xdr:rowOff>
    </xdr:to>
    <xdr:graphicFrame macro="">
      <xdr:nvGraphicFramePr>
        <xdr:cNvPr id="3" name="Chart 2">
          <a:extLst>
            <a:ext uri="{FF2B5EF4-FFF2-40B4-BE49-F238E27FC236}">
              <a16:creationId xmlns:a16="http://schemas.microsoft.com/office/drawing/2014/main" id="{1EDB2E56-6B06-4499-905B-616A59D45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38</xdr:row>
      <xdr:rowOff>9524</xdr:rowOff>
    </xdr:from>
    <xdr:to>
      <xdr:col>9</xdr:col>
      <xdr:colOff>163199</xdr:colOff>
      <xdr:row>53</xdr:row>
      <xdr:rowOff>32024</xdr:rowOff>
    </xdr:to>
    <xdr:graphicFrame macro="">
      <xdr:nvGraphicFramePr>
        <xdr:cNvPr id="4" name="Chart 3">
          <a:extLst>
            <a:ext uri="{FF2B5EF4-FFF2-40B4-BE49-F238E27FC236}">
              <a16:creationId xmlns:a16="http://schemas.microsoft.com/office/drawing/2014/main" id="{1CAD84EC-08C1-4C9D-8776-CAE16F1A9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38</xdr:row>
      <xdr:rowOff>9524</xdr:rowOff>
    </xdr:from>
    <xdr:to>
      <xdr:col>19</xdr:col>
      <xdr:colOff>163200</xdr:colOff>
      <xdr:row>53</xdr:row>
      <xdr:rowOff>32024</xdr:rowOff>
    </xdr:to>
    <xdr:graphicFrame macro="">
      <xdr:nvGraphicFramePr>
        <xdr:cNvPr id="5" name="Chart 4">
          <a:extLst>
            <a:ext uri="{FF2B5EF4-FFF2-40B4-BE49-F238E27FC236}">
              <a16:creationId xmlns:a16="http://schemas.microsoft.com/office/drawing/2014/main" id="{C768D6CA-6A30-4AAA-9747-603E4EB47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374650</xdr:colOff>
      <xdr:row>8</xdr:row>
      <xdr:rowOff>184150</xdr:rowOff>
    </xdr:from>
    <xdr:to>
      <xdr:col>5</xdr:col>
      <xdr:colOff>345850</xdr:colOff>
      <xdr:row>19</xdr:row>
      <xdr:rowOff>68650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54F5ECB6-01B8-497D-AA20-986433753B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93850" y="1708150"/>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276225</xdr:colOff>
      <xdr:row>8</xdr:row>
      <xdr:rowOff>184150</xdr:rowOff>
    </xdr:from>
    <xdr:to>
      <xdr:col>17</xdr:col>
      <xdr:colOff>247425</xdr:colOff>
      <xdr:row>19</xdr:row>
      <xdr:rowOff>68650</xdr:rowOff>
    </xdr:to>
    <mc:AlternateContent xmlns:mc="http://schemas.openxmlformats.org/markup-compatibility/2006" xmlns:a14="http://schemas.microsoft.com/office/drawing/2010/main">
      <mc:Choice Requires="a14">
        <xdr:graphicFrame macro="">
          <xdr:nvGraphicFramePr>
            <xdr:cNvPr id="8" name="AQI_Bucket">
              <a:extLst>
                <a:ext uri="{FF2B5EF4-FFF2-40B4-BE49-F238E27FC236}">
                  <a16:creationId xmlns:a16="http://schemas.microsoft.com/office/drawing/2014/main" id="{524ABCE0-2F2D-4A3F-9E4B-E43DF30758D7}"/>
                </a:ext>
              </a:extLst>
            </xdr:cNvPr>
            <xdr:cNvGraphicFramePr/>
          </xdr:nvGraphicFramePr>
          <xdr:xfrm>
            <a:off x="0" y="0"/>
            <a:ext cx="0" cy="0"/>
          </xdr:xfrm>
          <a:graphic>
            <a:graphicData uri="http://schemas.microsoft.com/office/drawing/2010/slicer">
              <sle:slicer xmlns:sle="http://schemas.microsoft.com/office/drawing/2010/slicer" name="AQI_Bucket"/>
            </a:graphicData>
          </a:graphic>
        </xdr:graphicFrame>
      </mc:Choice>
      <mc:Fallback xmlns="">
        <xdr:sp macro="" textlink="">
          <xdr:nvSpPr>
            <xdr:cNvPr id="0" name=""/>
            <xdr:cNvSpPr>
              <a:spLocks noTextEdit="1"/>
            </xdr:cNvSpPr>
          </xdr:nvSpPr>
          <xdr:spPr>
            <a:xfrm>
              <a:off x="8810625" y="1708150"/>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500061</xdr:colOff>
      <xdr:row>3</xdr:row>
      <xdr:rowOff>171448</xdr:rowOff>
    </xdr:from>
    <xdr:to>
      <xdr:col>11</xdr:col>
      <xdr:colOff>111261</xdr:colOff>
      <xdr:row>7</xdr:row>
      <xdr:rowOff>21448</xdr:rowOff>
    </xdr:to>
    <xdr:sp macro="" textlink="">
      <xdr:nvSpPr>
        <xdr:cNvPr id="15" name="Rectangle: Rounded Corners 14">
          <a:extLst>
            <a:ext uri="{FF2B5EF4-FFF2-40B4-BE49-F238E27FC236}">
              <a16:creationId xmlns:a16="http://schemas.microsoft.com/office/drawing/2014/main" id="{29B1B122-CEA5-4566-8D8C-633F2FC1437C}"/>
            </a:ext>
          </a:extLst>
        </xdr:cNvPr>
        <xdr:cNvSpPr/>
      </xdr:nvSpPr>
      <xdr:spPr>
        <a:xfrm>
          <a:off x="5376861"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Minimum AQI</a:t>
          </a:r>
          <a:r>
            <a:rPr lang="en-IN" sz="1400" b="1" baseline="0">
              <a:solidFill>
                <a:schemeClr val="bg1"/>
              </a:solidFill>
            </a:rPr>
            <a:t> 49</a:t>
          </a:r>
          <a:endParaRPr lang="en-IN" sz="1400" b="1">
            <a:solidFill>
              <a:schemeClr val="bg1"/>
            </a:solidFill>
          </a:endParaRPr>
        </a:p>
      </xdr:txBody>
    </xdr:sp>
    <xdr:clientData/>
  </xdr:twoCellAnchor>
  <xdr:twoCellAnchor>
    <xdr:from>
      <xdr:col>12</xdr:col>
      <xdr:colOff>431005</xdr:colOff>
      <xdr:row>3</xdr:row>
      <xdr:rowOff>171448</xdr:rowOff>
    </xdr:from>
    <xdr:to>
      <xdr:col>15</xdr:col>
      <xdr:colOff>42205</xdr:colOff>
      <xdr:row>7</xdr:row>
      <xdr:rowOff>21448</xdr:rowOff>
    </xdr:to>
    <xdr:sp macro="" textlink="">
      <xdr:nvSpPr>
        <xdr:cNvPr id="16" name="Rectangle: Rounded Corners 15">
          <a:extLst>
            <a:ext uri="{FF2B5EF4-FFF2-40B4-BE49-F238E27FC236}">
              <a16:creationId xmlns:a16="http://schemas.microsoft.com/office/drawing/2014/main" id="{59F22159-B03C-4071-9680-D28195D56FAE}"/>
            </a:ext>
          </a:extLst>
        </xdr:cNvPr>
        <xdr:cNvSpPr/>
      </xdr:nvSpPr>
      <xdr:spPr>
        <a:xfrm>
          <a:off x="7746205"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Number of Cities 4</a:t>
          </a:r>
          <a:endParaRPr lang="en-IN" sz="1400" b="1">
            <a:solidFill>
              <a:schemeClr val="bg1"/>
            </a:solidFill>
          </a:endParaRPr>
        </a:p>
      </xdr:txBody>
    </xdr:sp>
    <xdr:clientData/>
  </xdr:twoCellAnchor>
  <xdr:twoCellAnchor>
    <xdr:from>
      <xdr:col>16</xdr:col>
      <xdr:colOff>361950</xdr:colOff>
      <xdr:row>3</xdr:row>
      <xdr:rowOff>171448</xdr:rowOff>
    </xdr:from>
    <xdr:to>
      <xdr:col>18</xdr:col>
      <xdr:colOff>582750</xdr:colOff>
      <xdr:row>7</xdr:row>
      <xdr:rowOff>21448</xdr:rowOff>
    </xdr:to>
    <xdr:sp macro="" textlink="">
      <xdr:nvSpPr>
        <xdr:cNvPr id="17" name="Rectangle: Rounded Corners 16">
          <a:extLst>
            <a:ext uri="{FF2B5EF4-FFF2-40B4-BE49-F238E27FC236}">
              <a16:creationId xmlns:a16="http://schemas.microsoft.com/office/drawing/2014/main" id="{FE057087-2913-4B21-BBC5-301351C4434C}"/>
            </a:ext>
          </a:extLst>
        </xdr:cNvPr>
        <xdr:cNvSpPr/>
      </xdr:nvSpPr>
      <xdr:spPr>
        <a:xfrm>
          <a:off x="10115550"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Total Records </a:t>
          </a:r>
          <a:r>
            <a:rPr lang="en-IN" sz="1400" b="1">
              <a:solidFill>
                <a:schemeClr val="bg1"/>
              </a:solidFill>
            </a:rPr>
            <a:t>16</a:t>
          </a:r>
        </a:p>
      </xdr:txBody>
    </xdr:sp>
    <xdr:clientData/>
  </xdr:twoCellAnchor>
  <xdr:twoCellAnchor>
    <xdr:from>
      <xdr:col>1</xdr:col>
      <xdr:colOff>28573</xdr:colOff>
      <xdr:row>3</xdr:row>
      <xdr:rowOff>171448</xdr:rowOff>
    </xdr:from>
    <xdr:to>
      <xdr:col>3</xdr:col>
      <xdr:colOff>249373</xdr:colOff>
      <xdr:row>7</xdr:row>
      <xdr:rowOff>21448</xdr:rowOff>
    </xdr:to>
    <xdr:sp macro="" textlink="">
      <xdr:nvSpPr>
        <xdr:cNvPr id="19" name="Rectangle: Rounded Corners 18">
          <a:extLst>
            <a:ext uri="{FF2B5EF4-FFF2-40B4-BE49-F238E27FC236}">
              <a16:creationId xmlns:a16="http://schemas.microsoft.com/office/drawing/2014/main" id="{6D6ECAF8-B739-45E9-9ABC-26D16A2564DE}"/>
            </a:ext>
          </a:extLst>
        </xdr:cNvPr>
        <xdr:cNvSpPr/>
      </xdr:nvSpPr>
      <xdr:spPr>
        <a:xfrm>
          <a:off x="638173"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Average AQI</a:t>
          </a:r>
          <a:r>
            <a:rPr lang="en-IN" sz="1400" b="1" baseline="0">
              <a:solidFill>
                <a:schemeClr val="bg1"/>
              </a:solidFill>
            </a:rPr>
            <a:t> 189.5</a:t>
          </a:r>
          <a:endParaRPr lang="en-IN" sz="1400" b="1">
            <a:solidFill>
              <a:schemeClr val="bg1"/>
            </a:solidFill>
          </a:endParaRPr>
        </a:p>
      </xdr:txBody>
    </xdr:sp>
    <xdr:clientData/>
  </xdr:twoCellAnchor>
  <xdr:twoCellAnchor>
    <xdr:from>
      <xdr:col>4</xdr:col>
      <xdr:colOff>569117</xdr:colOff>
      <xdr:row>3</xdr:row>
      <xdr:rowOff>171448</xdr:rowOff>
    </xdr:from>
    <xdr:to>
      <xdr:col>7</xdr:col>
      <xdr:colOff>180317</xdr:colOff>
      <xdr:row>7</xdr:row>
      <xdr:rowOff>21448</xdr:rowOff>
    </xdr:to>
    <xdr:sp macro="" textlink="">
      <xdr:nvSpPr>
        <xdr:cNvPr id="20" name="Rectangle: Rounded Corners 19">
          <a:extLst>
            <a:ext uri="{FF2B5EF4-FFF2-40B4-BE49-F238E27FC236}">
              <a16:creationId xmlns:a16="http://schemas.microsoft.com/office/drawing/2014/main" id="{4FEDAD3C-FB9D-4AAF-B336-FCD23C675DDD}"/>
            </a:ext>
          </a:extLst>
        </xdr:cNvPr>
        <xdr:cNvSpPr/>
      </xdr:nvSpPr>
      <xdr:spPr>
        <a:xfrm>
          <a:off x="3007517"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Maximum AQI 415</a:t>
          </a:r>
          <a:endParaRPr lang="en-IN" sz="1400" b="1">
            <a:solidFill>
              <a:schemeClr val="bg1"/>
            </a:solidFill>
          </a:endParaRPr>
        </a:p>
      </xdr:txBody>
    </xdr:sp>
    <xdr:clientData/>
  </xdr:twoCellAnchor>
  <xdr:twoCellAnchor editAs="oneCell">
    <xdr:from>
      <xdr:col>8</xdr:col>
      <xdr:colOff>325437</xdr:colOff>
      <xdr:row>8</xdr:row>
      <xdr:rowOff>184150</xdr:rowOff>
    </xdr:from>
    <xdr:to>
      <xdr:col>11</xdr:col>
      <xdr:colOff>296637</xdr:colOff>
      <xdr:row>19</xdr:row>
      <xdr:rowOff>68650</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6E1998C3-B317-46B1-A9A1-2D5FB9F6C73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2237" y="1708150"/>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22.750344097221" backgroundQuery="1" createdVersion="7" refreshedVersion="7" minRefreshableVersion="3" recordCount="0" supportSubquery="1" supportAdvancedDrill="1" xr:uid="{F1B5F937-2B04-490F-8918-A69EAA3B84C3}">
  <cacheSource type="external" connectionId="1"/>
  <cacheFields count="2">
    <cacheField name="[Range].[Month].[Month]" caption="Month" numFmtId="0" hierarchy="3" level="1">
      <sharedItems count="7">
        <s v="August"/>
        <s v="January"/>
        <s v="June"/>
        <s v="March"/>
        <s v="November"/>
        <s v="October"/>
        <s v="September"/>
      </sharedItems>
    </cacheField>
    <cacheField name="[Measures].[Average of AQI]" caption="Average of AQI" numFmtId="0" hierarchy="19" level="32767"/>
  </cacheFields>
  <cacheHierarchies count="20">
    <cacheHierarchy uniqueName="[Range].[City]" caption="City" attribute="1" defaultMemberUniqueName="[Range].[City].[All]" allUniqueName="[Range].[City].[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 Number]" caption="Month Number" attribute="1" defaultMemberUniqueName="[Range].[Month Number].[All]" allUniqueName="[Range].[Month Number].[All]" dimensionUniqueName="[Range]" displayFolder="" count="0" memberValueDatatype="20" unbalanced="0"/>
    <cacheHierarchy uniqueName="[Range].[PM2.5]" caption="PM2.5" attribute="1" defaultMemberUniqueName="[Range].[PM2.5].[All]" allUniqueName="[Range].[PM2.5].[All]" dimensionUniqueName="[Range]" displayFolder="" count="0" memberValueDatatype="5" unbalanced="0"/>
    <cacheHierarchy uniqueName="[Range].[PM10]" caption="PM10" attribute="1" defaultMemberUniqueName="[Range].[PM10].[All]" allUniqueName="[Range].[PM10].[All]" dimensionUniqueName="[Range]" displayFolder="" count="0" memberValueDatatype="5" unbalanced="0"/>
    <cacheHierarchy uniqueName="[Range].[NO]" caption="NO" attribute="1" defaultMemberUniqueName="[Range].[NO].[All]" allUniqueName="[Range].[NO].[All]" dimensionUniqueName="[Range]" displayFolder="" count="0" memberValueDatatype="5" unbalanced="0"/>
    <cacheHierarchy uniqueName="[Range].[NO2]" caption="NO2" attribute="1" defaultMemberUniqueName="[Range].[NO2].[All]" allUniqueName="[Range].[NO2].[All]" dimensionUniqueName="[Range]" displayFolder="" count="0" memberValueDatatype="5" unbalanced="0"/>
    <cacheHierarchy uniqueName="[Range].[NOx]" caption="NOx" attribute="1" defaultMemberUniqueName="[Range].[NOx].[All]" allUniqueName="[Range].[NOx].[All]" dimensionUniqueName="[Range]" displayFolder="" count="0" memberValueDatatype="130" unbalanced="0"/>
    <cacheHierarchy uniqueName="[Range].[NH3]" caption="NH3" attribute="1" defaultMemberUniqueName="[Range].[NH3].[All]" allUniqueName="[Range].[NH3].[All]" dimensionUniqueName="[Range]" displayFolder="" count="0" memberValueDatatype="5" unbalanced="0"/>
    <cacheHierarchy uniqueName="[Range].[CO]" caption="CO" attribute="1" defaultMemberUniqueName="[Range].[CO].[All]" allUniqueName="[Range].[CO].[All]" dimensionUniqueName="[Range]" displayFolder="" count="0" memberValueDatatype="5" unbalanced="0"/>
    <cacheHierarchy uniqueName="[Range].[SO2]" caption="SO2" attribute="1" defaultMemberUniqueName="[Range].[SO2].[All]" allUniqueName="[Range].[SO2].[All]" dimensionUniqueName="[Range]" displayFolder="" count="0" memberValueDatatype="5" unbalanced="0"/>
    <cacheHierarchy uniqueName="[Range].[O3]" caption="O3" attribute="1" defaultMemberUniqueName="[Range].[O3].[All]" allUniqueName="[Range].[O3].[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AQI_Bucket]" caption="AQI_Bucket" attribute="1" defaultMemberUniqueName="[Range].[AQI_Bucket].[All]" allUniqueName="[Range].[AQI_Buck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QI]" caption="Sum of AQI" measure="1" displayFolder="" measureGroup="Range" count="0" hidden="1">
      <extLst>
        <ext xmlns:x15="http://schemas.microsoft.com/office/spreadsheetml/2010/11/main" uri="{B97F6D7D-B522-45F9-BDA1-12C45D357490}">
          <x15:cacheHierarchy aggregatedColumn="14"/>
        </ext>
      </extLst>
    </cacheHierarchy>
    <cacheHierarchy uniqueName="[Measures].[Average of AQI]" caption="Average of AQI"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 refreshedDate="46222.750659722224" createdVersion="7" refreshedVersion="7" minRefreshableVersion="3" recordCount="16" xr:uid="{9EE33FB8-B3F6-4DD6-A6E2-A6B381DEC625}">
  <cacheSource type="worksheet">
    <worksheetSource ref="A1:P17" sheet="Clean Data"/>
  </cacheSource>
  <cacheFields count="16">
    <cacheField name="City" numFmtId="0">
      <sharedItems count="4">
        <s v="Bengaluru"/>
        <s v="Delhi"/>
        <s v="Hyderabad"/>
        <s v="Kolkata"/>
      </sharedItems>
    </cacheField>
    <cacheField name="Date" numFmtId="14">
      <sharedItems containsSemiMixedTypes="0" containsNonDate="0" containsDate="1" containsString="0" minDate="2015-10-04T00:00:00" maxDate="2019-03-28T00:00:00" count="16">
        <d v="2016-08-31T00:00:00"/>
        <d v="2016-09-01T00:00:00"/>
        <d v="2017-01-13T00:00:00"/>
        <d v="2015-10-28T00:00:00"/>
        <d v="2015-10-29T00:00:00"/>
        <d v="2015-10-30T00:00:00"/>
        <d v="2015-10-31T00:00:00"/>
        <d v="2015-11-01T00:00:00"/>
        <d v="2015-10-04T00:00:00"/>
        <d v="2015-10-05T00:00:00"/>
        <d v="2015-10-06T00:00:00"/>
        <d v="2018-06-19T00:00:00"/>
        <d v="2018-06-20T00:00:00"/>
        <d v="2019-03-25T00:00:00"/>
        <d v="2019-03-26T00:00:00"/>
        <d v="2019-03-27T00:00:00"/>
      </sharedItems>
    </cacheField>
    <cacheField name="Year" numFmtId="0">
      <sharedItems containsSemiMixedTypes="0" containsDate="1" containsString="0" containsMixedTypes="1" minDate="1900-01-05T06:40:04" maxDate="1905-07-12T00:00:00" count="10">
        <n v="2016"/>
        <n v="2017"/>
        <n v="2015"/>
        <n v="2018"/>
        <n v="2019"/>
        <d v="1905-07-11T00:00:00" u="1"/>
        <d v="1905-07-07T00:00:00" u="1"/>
        <d v="1905-07-08T00:00:00" u="1"/>
        <d v="1905-07-09T00:00:00" u="1"/>
        <d v="1905-07-10T00:00:00" u="1"/>
      </sharedItems>
    </cacheField>
    <cacheField name="Month" numFmtId="14">
      <sharedItems/>
    </cacheField>
    <cacheField name="Month Number" numFmtId="0">
      <sharedItems containsSemiMixedTypes="0" containsString="0" containsNumber="1" containsInteger="1" minValue="1" maxValue="11"/>
    </cacheField>
    <cacheField name="PM2.5" numFmtId="0">
      <sharedItems containsSemiMixedTypes="0" containsString="0" containsNumber="1" minValue="24.44" maxValue="270.95999999999998"/>
    </cacheField>
    <cacheField name="PM10" numFmtId="0">
      <sharedItems containsSemiMixedTypes="0" containsString="0" containsNumber="1" minValue="46.28" maxValue="379.38"/>
    </cacheField>
    <cacheField name="NO" numFmtId="0">
      <sharedItems containsSemiMixedTypes="0" containsString="0" containsNumber="1" minValue="2.27" maxValue="62.22"/>
    </cacheField>
    <cacheField name="NO2" numFmtId="0">
      <sharedItems containsSemiMixedTypes="0" containsString="0" containsNumber="1" minValue="11.76" maxValue="110.56"/>
    </cacheField>
    <cacheField name="NOx" numFmtId="0">
      <sharedItems containsMixedTypes="1" containsNumber="1" minValue="2.06" maxValue="171.26"/>
    </cacheField>
    <cacheField name="NH3" numFmtId="0">
      <sharedItems containsSemiMixedTypes="0" containsString="0" containsNumber="1" minValue="8.6199999999999992" maxValue="51.64"/>
    </cacheField>
    <cacheField name="CO" numFmtId="0">
      <sharedItems containsSemiMixedTypes="0" containsString="0" containsNumber="1" minValue="0.41" maxValue="2.52"/>
    </cacheField>
    <cacheField name="SO2" numFmtId="0">
      <sharedItems containsSemiMixedTypes="0" containsString="0" containsNumber="1" minValue="1.93" maxValue="28.58"/>
    </cacheField>
    <cacheField name="O3" numFmtId="0">
      <sharedItems containsSemiMixedTypes="0" containsString="0" containsNumber="1" minValue="20.34" maxValue="84.99"/>
    </cacheField>
    <cacheField name="AQI" numFmtId="0">
      <sharedItems containsSemiMixedTypes="0" containsString="0" containsNumber="1" containsInteger="1" minValue="49" maxValue="415"/>
    </cacheField>
    <cacheField name="AQI_Bucket" numFmtId="0">
      <sharedItems count="6">
        <s v="Good"/>
        <s v="Satisfactory"/>
        <s v="Very Poor"/>
        <s v="Poor"/>
        <s v="Severe"/>
        <s v="Moderate"/>
      </sharedItems>
    </cacheField>
  </cacheFields>
  <extLst>
    <ext xmlns:x14="http://schemas.microsoft.com/office/spreadsheetml/2009/9/main" uri="{725AE2AE-9491-48be-B2B4-4EB974FC3084}">
      <x14:pivotCacheDefinition pivotCacheId="2263851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22.855217939818" backgroundQuery="1" createdVersion="7" refreshedVersion="7" minRefreshableVersion="3" recordCount="0" supportSubquery="1" supportAdvancedDrill="1" xr:uid="{7357EB42-B04C-4827-90AC-106A676F4B27}">
  <cacheSource type="external" connectionId="1"/>
  <cacheFields count="2">
    <cacheField name="[Range].[City].[City]" caption="City" numFmtId="0" level="1">
      <sharedItems count="4">
        <s v="Bengaluru"/>
        <s v="Delhi"/>
        <s v="Hyderabad"/>
        <s v="Kolkata"/>
      </sharedItems>
    </cacheField>
    <cacheField name="[Measures].[Average of AQI]" caption="Average of AQI" numFmtId="0" hierarchy="19" level="32767"/>
  </cacheFields>
  <cacheHierarchies count="2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Date]" caption="Date" attribute="1" time="1" defaultMemberUniqueName="[Range].[Date].[All]" allUniqueName="[Range].[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Month Number]" caption="Month Number" attribute="1" defaultMemberUniqueName="[Range].[Month Number].[All]" allUniqueName="[Range].[Month Number].[All]" dimensionUniqueName="[Range]" displayFolder="" count="2" memberValueDatatype="20" unbalanced="0"/>
    <cacheHierarchy uniqueName="[Range].[PM2.5]" caption="PM2.5" attribute="1" defaultMemberUniqueName="[Range].[PM2.5].[All]" allUniqueName="[Range].[PM2.5].[All]" dimensionUniqueName="[Range]" displayFolder="" count="2" memberValueDatatype="5" unbalanced="0"/>
    <cacheHierarchy uniqueName="[Range].[PM10]" caption="PM10" attribute="1" defaultMemberUniqueName="[Range].[PM10].[All]" allUniqueName="[Range].[PM10].[All]" dimensionUniqueName="[Range]" displayFolder="" count="2" memberValueDatatype="5" unbalanced="0"/>
    <cacheHierarchy uniqueName="[Range].[NO]" caption="NO" attribute="1" defaultMemberUniqueName="[Range].[NO].[All]" allUniqueName="[Range].[NO].[All]" dimensionUniqueName="[Range]" displayFolder="" count="2" memberValueDatatype="5" unbalanced="0"/>
    <cacheHierarchy uniqueName="[Range].[NO2]" caption="NO2" attribute="1" defaultMemberUniqueName="[Range].[NO2].[All]" allUniqueName="[Range].[NO2].[All]" dimensionUniqueName="[Range]" displayFolder="" count="2" memberValueDatatype="5" unbalanced="0"/>
    <cacheHierarchy uniqueName="[Range].[NOx]" caption="NOx" attribute="1" defaultMemberUniqueName="[Range].[NOx].[All]" allUniqueName="[Range].[NOx].[All]" dimensionUniqueName="[Range]" displayFolder="" count="2" memberValueDatatype="130" unbalanced="0"/>
    <cacheHierarchy uniqueName="[Range].[NH3]" caption="NH3" attribute="1" defaultMemberUniqueName="[Range].[NH3].[All]" allUniqueName="[Range].[NH3].[All]" dimensionUniqueName="[Range]" displayFolder="" count="2" memberValueDatatype="5" unbalanced="0"/>
    <cacheHierarchy uniqueName="[Range].[CO]" caption="CO" attribute="1" defaultMemberUniqueName="[Range].[CO].[All]" allUniqueName="[Range].[CO].[All]" dimensionUniqueName="[Range]" displayFolder="" count="2" memberValueDatatype="5" unbalanced="0"/>
    <cacheHierarchy uniqueName="[Range].[SO2]" caption="SO2" attribute="1" defaultMemberUniqueName="[Range].[SO2].[All]" allUniqueName="[Range].[SO2].[All]" dimensionUniqueName="[Range]" displayFolder="" count="2" memberValueDatatype="5" unbalanced="0"/>
    <cacheHierarchy uniqueName="[Range].[O3]" caption="O3" attribute="1" defaultMemberUniqueName="[Range].[O3].[All]" allUniqueName="[Range].[O3].[All]" dimensionUniqueName="[Range]" displayFolder="" count="2" memberValueDatatype="5" unbalanced="0"/>
    <cacheHierarchy uniqueName="[Range].[AQI]" caption="AQI" attribute="1" defaultMemberUniqueName="[Range].[AQI].[All]" allUniqueName="[Range].[AQI].[All]" dimensionUniqueName="[Range]" displayFolder="" count="2" memberValueDatatype="20" unbalanced="0"/>
    <cacheHierarchy uniqueName="[Range].[AQI_Bucket]" caption="AQI_Bucket" attribute="1" defaultMemberUniqueName="[Range].[AQI_Bucket].[All]" allUniqueName="[Range].[AQI_Bucket].[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QI]" caption="Sum of AQI" measure="1" displayFolder="" measureGroup="Range" count="0" hidden="1">
      <extLst>
        <ext xmlns:x15="http://schemas.microsoft.com/office/spreadsheetml/2010/11/main" uri="{B97F6D7D-B522-45F9-BDA1-12C45D357490}">
          <x15:cacheHierarchy aggregatedColumn="14"/>
        </ext>
      </extLst>
    </cacheHierarchy>
    <cacheHierarchy uniqueName="[Measures].[Average of AQI]" caption="Average of AQI"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22.821278819443" backgroundQuery="1" createdVersion="3" refreshedVersion="7" minRefreshableVersion="3" recordCount="0" supportSubquery="1" supportAdvancedDrill="1" xr:uid="{6ADB3E16-991B-424F-80F3-E0CC77AFC046}">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City]" caption="City" attribute="1" defaultMemberUniqueName="[Range].[City].[All]" allUniqueName="[Range].[City].[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PM2.5]" caption="PM2.5" attribute="1" defaultMemberUniqueName="[Range].[PM2.5].[All]" allUniqueName="[Range].[PM2.5].[All]" dimensionUniqueName="[Range]" displayFolder="" count="0" memberValueDatatype="5" unbalanced="0"/>
    <cacheHierarchy uniqueName="[Range].[PM10]" caption="PM10" attribute="1" defaultMemberUniqueName="[Range].[PM10].[All]" allUniqueName="[Range].[PM10].[All]" dimensionUniqueName="[Range]" displayFolder="" count="0" memberValueDatatype="5" unbalanced="0"/>
    <cacheHierarchy uniqueName="[Range].[NO]" caption="NO" attribute="1" defaultMemberUniqueName="[Range].[NO].[All]" allUniqueName="[Range].[NO].[All]" dimensionUniqueName="[Range]" displayFolder="" count="0" memberValueDatatype="5" unbalanced="0"/>
    <cacheHierarchy uniqueName="[Range].[NO2]" caption="NO2" attribute="1" defaultMemberUniqueName="[Range].[NO2].[All]" allUniqueName="[Range].[NO2].[All]" dimensionUniqueName="[Range]" displayFolder="" count="0" memberValueDatatype="5" unbalanced="0"/>
    <cacheHierarchy uniqueName="[Range].[NOx]" caption="NOx" attribute="1" defaultMemberUniqueName="[Range].[NOx].[All]" allUniqueName="[Range].[NOx].[All]" dimensionUniqueName="[Range]" displayFolder="" count="0" memberValueDatatype="130" unbalanced="0"/>
    <cacheHierarchy uniqueName="[Range].[NH3]" caption="NH3" attribute="1" defaultMemberUniqueName="[Range].[NH3].[All]" allUniqueName="[Range].[NH3].[All]" dimensionUniqueName="[Range]" displayFolder="" count="0" memberValueDatatype="5" unbalanced="0"/>
    <cacheHierarchy uniqueName="[Range].[CO]" caption="CO" attribute="1" defaultMemberUniqueName="[Range].[CO].[All]" allUniqueName="[Range].[CO].[All]" dimensionUniqueName="[Range]" displayFolder="" count="0" memberValueDatatype="5" unbalanced="0"/>
    <cacheHierarchy uniqueName="[Range].[SO2]" caption="SO2" attribute="1" defaultMemberUniqueName="[Range].[SO2].[All]" allUniqueName="[Range].[SO2].[All]" dimensionUniqueName="[Range]" displayFolder="" count="0" memberValueDatatype="5" unbalanced="0"/>
    <cacheHierarchy uniqueName="[Range].[O3]" caption="O3" attribute="1" defaultMemberUniqueName="[Range].[O3].[All]" allUniqueName="[Range].[O3].[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AQI_Bucket]" caption="AQI_Bucket" attribute="1" defaultMemberUniqueName="[Range].[AQI_Bucket].[All]" allUniqueName="[Range].[AQI_Buck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QI]" caption="Sum of AQI" measure="1" displayFolder="" measureGroup="Range" count="0" hidden="1">
      <extLst>
        <ext xmlns:x15="http://schemas.microsoft.com/office/spreadsheetml/2010/11/main" uri="{B97F6D7D-B522-45F9-BDA1-12C45D357490}">
          <x15:cacheHierarchy aggregatedColumn="14"/>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949813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s v="August"/>
    <n v="8"/>
    <n v="35.17"/>
    <n v="51.69"/>
    <n v="3.61"/>
    <n v="19.079999999999998"/>
    <n v="2.06"/>
    <n v="40.409999999999997"/>
    <n v="0.41"/>
    <n v="3.7"/>
    <n v="20.34"/>
    <n v="49"/>
    <x v="0"/>
  </r>
  <r>
    <x v="0"/>
    <x v="1"/>
    <x v="0"/>
    <s v="September"/>
    <n v="9"/>
    <n v="37.57"/>
    <n v="46.28"/>
    <n v="4.82"/>
    <n v="22.32"/>
    <n v="2.61"/>
    <n v="40.49"/>
    <n v="0.46"/>
    <n v="3.72"/>
    <n v="21.4"/>
    <n v="57"/>
    <x v="1"/>
  </r>
  <r>
    <x v="0"/>
    <x v="2"/>
    <x v="1"/>
    <s v="January"/>
    <n v="1"/>
    <n v="31.22"/>
    <n v="108.09"/>
    <n v="4.05"/>
    <n v="26.86"/>
    <s v="NA"/>
    <n v="26.04"/>
    <n v="0.55000000000000004"/>
    <n v="3.67"/>
    <n v="50.8"/>
    <n v="91"/>
    <x v="1"/>
  </r>
  <r>
    <x v="1"/>
    <x v="3"/>
    <x v="2"/>
    <s v="October"/>
    <n v="10"/>
    <n v="113.18"/>
    <n v="254.24"/>
    <n v="32.119999999999997"/>
    <n v="43.78"/>
    <n v="74.53"/>
    <n v="22.81"/>
    <n v="2.08"/>
    <n v="18.61"/>
    <n v="71.98"/>
    <n v="333"/>
    <x v="2"/>
  </r>
  <r>
    <x v="1"/>
    <x v="4"/>
    <x v="2"/>
    <s v="October"/>
    <n v="10"/>
    <n v="93.86"/>
    <n v="183.08"/>
    <n v="25.74"/>
    <n v="57.74"/>
    <n v="77.86"/>
    <n v="25.55"/>
    <n v="1.9"/>
    <n v="24.29"/>
    <n v="73.260000000000005"/>
    <n v="262"/>
    <x v="3"/>
  </r>
  <r>
    <x v="1"/>
    <x v="5"/>
    <x v="2"/>
    <s v="October"/>
    <n v="10"/>
    <n v="106.16"/>
    <n v="156.58000000000001"/>
    <n v="24.98"/>
    <n v="42.63"/>
    <n v="55.71"/>
    <n v="28.72"/>
    <n v="2.0699999999999998"/>
    <n v="18.920000000000002"/>
    <n v="60.56"/>
    <n v="233"/>
    <x v="3"/>
  </r>
  <r>
    <x v="1"/>
    <x v="6"/>
    <x v="2"/>
    <s v="October"/>
    <n v="10"/>
    <n v="245.97"/>
    <n v="274.06"/>
    <n v="36.549999999999997"/>
    <n v="35.11"/>
    <n v="58.72"/>
    <n v="35.770000000000003"/>
    <n v="1.78"/>
    <n v="17.66"/>
    <n v="42.32"/>
    <n v="340"/>
    <x v="2"/>
  </r>
  <r>
    <x v="1"/>
    <x v="7"/>
    <x v="2"/>
    <s v="November"/>
    <n v="11"/>
    <n v="270.95999999999998"/>
    <n v="379.38"/>
    <n v="60.39"/>
    <n v="60.17"/>
    <n v="94.74"/>
    <n v="51.64"/>
    <n v="2.52"/>
    <n v="28.58"/>
    <n v="84.99"/>
    <n v="415"/>
    <x v="4"/>
  </r>
  <r>
    <x v="2"/>
    <x v="8"/>
    <x v="2"/>
    <s v="October"/>
    <n v="10"/>
    <n v="42.69"/>
    <n v="59.29"/>
    <n v="3.02"/>
    <n v="17.809999999999999"/>
    <n v="13.74"/>
    <n v="14.41"/>
    <n v="1.22"/>
    <n v="5.41"/>
    <n v="21.98"/>
    <n v="85"/>
    <x v="1"/>
  </r>
  <r>
    <x v="2"/>
    <x v="9"/>
    <x v="2"/>
    <s v="October"/>
    <n v="10"/>
    <n v="75.040000000000006"/>
    <n v="81.99"/>
    <n v="2.27"/>
    <n v="16.05"/>
    <n v="12.57"/>
    <n v="15.02"/>
    <n v="0.93"/>
    <n v="6.88"/>
    <n v="33.520000000000003"/>
    <n v="113"/>
    <x v="5"/>
  </r>
  <r>
    <x v="2"/>
    <x v="10"/>
    <x v="2"/>
    <s v="October"/>
    <n v="10"/>
    <n v="136.44999999999999"/>
    <n v="108.82"/>
    <n v="6.29"/>
    <n v="11.76"/>
    <n v="16.37"/>
    <n v="8.6199999999999992"/>
    <n v="0.66"/>
    <n v="7.34"/>
    <n v="32.21"/>
    <n v="231"/>
    <x v="3"/>
  </r>
  <r>
    <x v="3"/>
    <x v="11"/>
    <x v="3"/>
    <s v="June"/>
    <n v="6"/>
    <n v="39.25"/>
    <n v="87.24"/>
    <n v="2.6"/>
    <n v="30.86"/>
    <n v="33.450000000000003"/>
    <n v="12.06"/>
    <n v="1.35"/>
    <n v="1.93"/>
    <n v="81.12"/>
    <n v="148"/>
    <x v="5"/>
  </r>
  <r>
    <x v="3"/>
    <x v="12"/>
    <x v="3"/>
    <s v="June"/>
    <n v="6"/>
    <n v="24.44"/>
    <n v="53.19"/>
    <n v="5.77"/>
    <n v="38.03"/>
    <n v="43.79"/>
    <n v="9.14"/>
    <n v="1.7"/>
    <n v="6.88"/>
    <n v="49.58"/>
    <n v="94"/>
    <x v="1"/>
  </r>
  <r>
    <x v="3"/>
    <x v="13"/>
    <x v="4"/>
    <s v="March"/>
    <n v="3"/>
    <n v="100.22"/>
    <n v="210.26"/>
    <n v="62.22"/>
    <n v="110.56"/>
    <n v="171.26"/>
    <n v="35.33"/>
    <n v="1.04"/>
    <n v="16.5"/>
    <n v="39.479999999999997"/>
    <n v="226"/>
    <x v="3"/>
  </r>
  <r>
    <x v="3"/>
    <x v="14"/>
    <x v="4"/>
    <s v="March"/>
    <n v="3"/>
    <n v="82.49"/>
    <n v="174.78"/>
    <n v="4.46"/>
    <n v="51.51"/>
    <n v="55.92"/>
    <n v="29.64"/>
    <n v="0.63"/>
    <n v="7.53"/>
    <n v="44.18"/>
    <n v="214"/>
    <x v="3"/>
  </r>
  <r>
    <x v="3"/>
    <x v="15"/>
    <x v="4"/>
    <s v="March"/>
    <n v="3"/>
    <n v="62.36"/>
    <n v="134.81"/>
    <n v="5.58"/>
    <n v="71.64"/>
    <n v="77.2"/>
    <n v="26.15"/>
    <n v="0.56999999999999995"/>
    <n v="18.68"/>
    <n v="49.46"/>
    <n v="14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667C6-7C18-4E74-9D5F-8C369BFD8439}" name="PivotTable1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location ref="A23:B28" firstHeaderRow="1" firstDataRow="1" firstDataCol="1"/>
  <pivotFields count="16">
    <pivotField axis="axisRow" showAll="0">
      <items count="5">
        <item x="0"/>
        <item x="1"/>
        <item x="2"/>
        <item x="3"/>
        <item t="default"/>
      </items>
    </pivotField>
    <pivotField numFmtId="14" showAll="0"/>
    <pivotField numFmtId="14" showAll="0">
      <items count="11">
        <item x="2"/>
        <item x="0"/>
        <item x="1"/>
        <item x="3"/>
        <item x="4"/>
        <item m="1" x="6"/>
        <item m="1" x="7"/>
        <item m="1" x="8"/>
        <item m="1" x="9"/>
        <item m="1" x="5"/>
        <item t="default"/>
      </items>
    </pivotField>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Average of PM10"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D18555-8F5F-4B18-A071-ECD0EC593F4D}" name="PivotTable1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ity">
  <location ref="A15:B20" firstHeaderRow="1" firstDataRow="1" firstDataCol="1"/>
  <pivotFields count="16">
    <pivotField axis="axisRow" showAll="0">
      <items count="5">
        <item x="0"/>
        <item x="1"/>
        <item x="2"/>
        <item x="3"/>
        <item t="default"/>
      </items>
    </pivotField>
    <pivotField numFmtId="14" showAll="0"/>
    <pivotField numFmtId="14" showAll="0"/>
    <pivotField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Average of PM2.5" fld="5" subtotal="average"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43A29-61C2-4891-A7E3-966EE2CDCD68}" name="PivotTable1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AQI_Bucket">
  <location ref="D16:E23" firstHeaderRow="1" firstDataRow="1" firstDataCol="1"/>
  <pivotFields count="16">
    <pivotField showAll="0">
      <items count="5">
        <item x="0"/>
        <item x="1"/>
        <item x="2"/>
        <item x="3"/>
        <item t="default"/>
      </items>
    </pivotField>
    <pivotField numFmtId="14"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dataField="1" showAll="0">
      <items count="7">
        <item x="0"/>
        <item x="5"/>
        <item x="3"/>
        <item x="1"/>
        <item x="4"/>
        <item x="2"/>
        <item t="default"/>
      </items>
    </pivotField>
  </pivotFields>
  <rowFields count="1">
    <field x="15"/>
  </rowFields>
  <rowItems count="7">
    <i>
      <x/>
    </i>
    <i>
      <x v="1"/>
    </i>
    <i>
      <x v="2"/>
    </i>
    <i>
      <x v="3"/>
    </i>
    <i>
      <x v="4"/>
    </i>
    <i>
      <x v="5"/>
    </i>
    <i t="grand">
      <x/>
    </i>
  </rowItems>
  <colItems count="1">
    <i/>
  </colItems>
  <dataFields count="1">
    <dataField name="Count of AQI_Bucket" fld="15" subtotal="count"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 chart="1" format="5">
      <pivotArea type="data" outline="0" fieldPosition="0">
        <references count="2">
          <reference field="4294967294" count="1" selected="0">
            <x v="0"/>
          </reference>
          <reference field="15" count="1" selected="0">
            <x v="4"/>
          </reference>
        </references>
      </pivotArea>
    </chartFormat>
    <chartFormat chart="1" format="6">
      <pivotArea type="data" outline="0" fieldPosition="0">
        <references count="2">
          <reference field="4294967294" count="1" selected="0">
            <x v="0"/>
          </reference>
          <reference field="15"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5" count="1" selected="0">
            <x v="0"/>
          </reference>
        </references>
      </pivotArea>
    </chartFormat>
    <chartFormat chart="3" format="16">
      <pivotArea type="data" outline="0" fieldPosition="0">
        <references count="2">
          <reference field="4294967294" count="1" selected="0">
            <x v="0"/>
          </reference>
          <reference field="15" count="1" selected="0">
            <x v="1"/>
          </reference>
        </references>
      </pivotArea>
    </chartFormat>
    <chartFormat chart="3" format="17">
      <pivotArea type="data" outline="0" fieldPosition="0">
        <references count="2">
          <reference field="4294967294" count="1" selected="0">
            <x v="0"/>
          </reference>
          <reference field="15" count="1" selected="0">
            <x v="2"/>
          </reference>
        </references>
      </pivotArea>
    </chartFormat>
    <chartFormat chart="3" format="18">
      <pivotArea type="data" outline="0" fieldPosition="0">
        <references count="2">
          <reference field="4294967294" count="1" selected="0">
            <x v="0"/>
          </reference>
          <reference field="15" count="1" selected="0">
            <x v="3"/>
          </reference>
        </references>
      </pivotArea>
    </chartFormat>
    <chartFormat chart="3" format="19">
      <pivotArea type="data" outline="0" fieldPosition="0">
        <references count="2">
          <reference field="4294967294" count="1" selected="0">
            <x v="0"/>
          </reference>
          <reference field="15" count="1" selected="0">
            <x v="4"/>
          </reference>
        </references>
      </pivotArea>
    </chartFormat>
    <chartFormat chart="3" format="20">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EA6B55-0182-478A-A93F-148A944ECCEA}" name="PivotTable 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D3:E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AQI" fld="1"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QI"/>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1:$P$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99DC57-EF13-42F1-A2A5-2BD5B034171C}" name="PivotTable1" cacheId="2"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4" rowHeaderCaption="City">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AQI" fld="1"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QI"/>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1:$P$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3BEC0B2-E838-4259-9A77-A8AAC3329D93}" sourceName="City">
  <pivotTables>
    <pivotTable tabId="6" name="PivotTable17"/>
    <pivotTable tabId="6" name="PivotTable18"/>
    <pivotTable tabId="6" name="PivotTable19"/>
  </pivotTables>
  <data>
    <tabular pivotCacheId="22638517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QI_Bucket" xr10:uid="{5A51F14E-430C-42E7-82B9-01F494ADC6AD}" sourceName="AQI_Bucket">
  <data>
    <tabular pivotCacheId="226385171">
      <items count="6">
        <i x="0" s="1"/>
        <i x="5"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19BBCCD-856F-4C3A-87A5-422F042B8A25}" sourceName="[Range].[Year]">
  <pivotTables>
    <pivotTable tabId="6" name="PivotTable1"/>
  </pivotTables>
  <data>
    <olap pivotCacheId="1894981331">
      <levels count="2">
        <level uniqueName="[Range].[Year].[(All)]" sourceCaption="(All)" count="0"/>
        <level uniqueName="[Range].[Year].[Year]" sourceCaption="Year" count="5">
          <ranges>
            <range startItem="0">
              <i n="[Range].[Year].&amp;[2015]" c="2015"/>
              <i n="[Range].[Year].&amp;[2016]" c="2016"/>
              <i n="[Range].[Year].&amp;[2017]" c="2017"/>
              <i n="[Range].[Year].&amp;[2018]" c="2018"/>
              <i n="[Range].[Year].&amp;[2019]" c="2019"/>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B383475-31E2-46CB-A490-626B552BF69A}" cache="Slicer_City" caption="City" rowHeight="241300"/>
  <slicer name="AQI_Bucket" xr10:uid="{DF08A799-B392-4E32-BD54-8753E6ADBF5D}" cache="Slicer_AQI_Bucket" caption="AQI_Bucket" rowHeight="241300"/>
  <slicer name="Year" xr10:uid="{D1FD91BE-B79D-495C-A71A-0697EC59FCFB}" cache="Slicer_Year" caption="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511B-8CEC-45FE-B69B-8E0FB6D317E7}">
  <dimension ref="A1:M28"/>
  <sheetViews>
    <sheetView workbookViewId="0">
      <selection activeCell="F6" sqref="F6"/>
    </sheetView>
  </sheetViews>
  <sheetFormatPr defaultRowHeight="15" x14ac:dyDescent="0.25"/>
  <cols>
    <col min="1" max="1" width="10.85546875" customWidth="1"/>
    <col min="2" max="2" width="11.5703125" bestFit="1" customWidth="1"/>
    <col min="13" max="13" width="13.42578125" customWidth="1"/>
  </cols>
  <sheetData>
    <row r="1" spans="1:13" ht="30.75" thickBot="1" x14ac:dyDescent="0.3">
      <c r="A1" s="1" t="s">
        <v>0</v>
      </c>
      <c r="B1" s="1" t="s">
        <v>1</v>
      </c>
      <c r="C1" s="1" t="s">
        <v>2</v>
      </c>
      <c r="D1" s="1" t="s">
        <v>3</v>
      </c>
      <c r="E1" s="1" t="s">
        <v>4</v>
      </c>
      <c r="F1" s="1" t="s">
        <v>5</v>
      </c>
      <c r="G1" s="1" t="s">
        <v>6</v>
      </c>
      <c r="H1" s="1" t="s">
        <v>7</v>
      </c>
      <c r="I1" s="1" t="s">
        <v>8</v>
      </c>
      <c r="J1" s="1" t="s">
        <v>9</v>
      </c>
      <c r="K1" s="1" t="s">
        <v>10</v>
      </c>
      <c r="L1" s="1" t="s">
        <v>11</v>
      </c>
      <c r="M1" s="1" t="s">
        <v>12</v>
      </c>
    </row>
    <row r="2" spans="1:13" ht="30" thickBot="1" x14ac:dyDescent="0.3">
      <c r="A2" s="2" t="s">
        <v>13</v>
      </c>
      <c r="B2" s="4">
        <v>42613</v>
      </c>
      <c r="C2" s="5">
        <v>35.17</v>
      </c>
      <c r="D2" s="5">
        <v>51.69</v>
      </c>
      <c r="E2" s="5">
        <v>3.61</v>
      </c>
      <c r="F2" s="5">
        <v>19.079999999999998</v>
      </c>
      <c r="G2" s="5">
        <v>2.06</v>
      </c>
      <c r="H2" s="5">
        <v>40.409999999999997</v>
      </c>
      <c r="I2" s="5">
        <v>0.41</v>
      </c>
      <c r="J2" s="5">
        <v>3.7</v>
      </c>
      <c r="K2" s="5">
        <v>20.34</v>
      </c>
      <c r="L2" s="5">
        <v>49</v>
      </c>
      <c r="M2" s="2" t="s">
        <v>14</v>
      </c>
    </row>
    <row r="3" spans="1:13" ht="30" thickBot="1" x14ac:dyDescent="0.3">
      <c r="A3" s="2" t="s">
        <v>13</v>
      </c>
      <c r="B3" s="4">
        <v>42614</v>
      </c>
      <c r="C3" s="5">
        <v>37.57</v>
      </c>
      <c r="D3" s="5">
        <v>46.28</v>
      </c>
      <c r="E3" s="5">
        <v>4.82</v>
      </c>
      <c r="F3" s="5">
        <v>22.32</v>
      </c>
      <c r="G3" s="5">
        <v>2.61</v>
      </c>
      <c r="H3" s="5">
        <v>40.49</v>
      </c>
      <c r="I3" s="5">
        <v>0.46</v>
      </c>
      <c r="J3" s="5">
        <v>3.72</v>
      </c>
      <c r="K3" s="5">
        <v>21.4</v>
      </c>
      <c r="L3" s="5">
        <v>57</v>
      </c>
      <c r="M3" s="2" t="s">
        <v>15</v>
      </c>
    </row>
    <row r="4" spans="1:13" ht="30" thickBot="1" x14ac:dyDescent="0.3">
      <c r="A4" s="2" t="s">
        <v>13</v>
      </c>
      <c r="B4" s="4">
        <v>42748</v>
      </c>
      <c r="C4" s="5">
        <v>31.22</v>
      </c>
      <c r="D4" s="5">
        <v>108.09</v>
      </c>
      <c r="E4" s="5">
        <v>4.05</v>
      </c>
      <c r="F4" s="5">
        <v>26.86</v>
      </c>
      <c r="G4" s="6" t="s">
        <v>16</v>
      </c>
      <c r="H4" s="5">
        <v>26.04</v>
      </c>
      <c r="I4" s="5">
        <v>0.55000000000000004</v>
      </c>
      <c r="J4" s="5">
        <v>3.67</v>
      </c>
      <c r="K4" s="5">
        <v>50.8</v>
      </c>
      <c r="L4" s="5">
        <v>91</v>
      </c>
      <c r="M4" s="2" t="s">
        <v>15</v>
      </c>
    </row>
    <row r="5" spans="1:13" ht="30" thickBot="1" x14ac:dyDescent="0.3">
      <c r="A5" s="2" t="s">
        <v>13</v>
      </c>
      <c r="B5" s="4">
        <v>42749</v>
      </c>
      <c r="C5" s="5">
        <v>29.21</v>
      </c>
      <c r="D5" s="7"/>
      <c r="E5" s="5">
        <v>2.0299999999999998</v>
      </c>
      <c r="F5" s="5">
        <v>13.26</v>
      </c>
      <c r="G5" s="6" t="s">
        <v>16</v>
      </c>
      <c r="H5" s="5">
        <v>24.76</v>
      </c>
      <c r="I5" s="5">
        <v>0</v>
      </c>
      <c r="J5" s="5">
        <v>3.29</v>
      </c>
      <c r="K5" s="5">
        <v>63.14</v>
      </c>
      <c r="L5" s="5">
        <v>78</v>
      </c>
      <c r="M5" s="2" t="s">
        <v>15</v>
      </c>
    </row>
    <row r="6" spans="1:13" ht="30" thickBot="1" x14ac:dyDescent="0.3">
      <c r="A6" s="2" t="s">
        <v>13</v>
      </c>
      <c r="B6" s="4">
        <v>42923</v>
      </c>
      <c r="C6" s="7"/>
      <c r="D6" s="5">
        <v>126.74</v>
      </c>
      <c r="E6" s="5">
        <v>15.39</v>
      </c>
      <c r="F6" s="5">
        <v>27.96</v>
      </c>
      <c r="G6" s="6" t="s">
        <v>16</v>
      </c>
      <c r="H6" s="7"/>
      <c r="I6" s="5">
        <v>0.56000000000000005</v>
      </c>
      <c r="J6" s="5">
        <v>3.86</v>
      </c>
      <c r="K6" s="5">
        <v>12.39</v>
      </c>
      <c r="L6" s="7"/>
      <c r="M6" s="7"/>
    </row>
    <row r="7" spans="1:13" ht="30" thickBot="1" x14ac:dyDescent="0.3">
      <c r="A7" s="2" t="s">
        <v>17</v>
      </c>
      <c r="B7" s="4">
        <v>42305</v>
      </c>
      <c r="C7" s="5">
        <v>113.18</v>
      </c>
      <c r="D7" s="5">
        <v>254.24</v>
      </c>
      <c r="E7" s="5">
        <v>32.119999999999997</v>
      </c>
      <c r="F7" s="5">
        <v>43.78</v>
      </c>
      <c r="G7" s="5">
        <v>74.53</v>
      </c>
      <c r="H7" s="5">
        <v>22.81</v>
      </c>
      <c r="I7" s="5">
        <v>2.08</v>
      </c>
      <c r="J7" s="5">
        <v>18.61</v>
      </c>
      <c r="K7" s="5">
        <v>71.98</v>
      </c>
      <c r="L7" s="5">
        <v>333</v>
      </c>
      <c r="M7" s="2" t="s">
        <v>18</v>
      </c>
    </row>
    <row r="8" spans="1:13" ht="15.75" thickBot="1" x14ac:dyDescent="0.3">
      <c r="A8" s="2" t="s">
        <v>17</v>
      </c>
      <c r="B8" s="4">
        <v>42306</v>
      </c>
      <c r="C8" s="5">
        <v>93.86</v>
      </c>
      <c r="D8" s="5">
        <v>183.08</v>
      </c>
      <c r="E8" s="5">
        <v>25.74</v>
      </c>
      <c r="F8" s="5">
        <v>57.74</v>
      </c>
      <c r="G8" s="5">
        <v>77.86</v>
      </c>
      <c r="H8" s="5">
        <v>25.55</v>
      </c>
      <c r="I8" s="5">
        <v>1.9</v>
      </c>
      <c r="J8" s="5">
        <v>24.29</v>
      </c>
      <c r="K8" s="5">
        <v>73.260000000000005</v>
      </c>
      <c r="L8" s="5">
        <v>262</v>
      </c>
      <c r="M8" s="2" t="s">
        <v>19</v>
      </c>
    </row>
    <row r="9" spans="1:13" ht="15.75" thickBot="1" x14ac:dyDescent="0.3">
      <c r="A9" s="2" t="s">
        <v>17</v>
      </c>
      <c r="B9" s="4">
        <v>42307</v>
      </c>
      <c r="C9" s="5">
        <v>106.16</v>
      </c>
      <c r="D9" s="5">
        <v>156.58000000000001</v>
      </c>
      <c r="E9" s="5">
        <v>24.98</v>
      </c>
      <c r="F9" s="5">
        <v>42.63</v>
      </c>
      <c r="G9" s="5">
        <v>55.71</v>
      </c>
      <c r="H9" s="5">
        <v>28.72</v>
      </c>
      <c r="I9" s="5">
        <v>2.0699999999999998</v>
      </c>
      <c r="J9" s="5">
        <v>18.920000000000002</v>
      </c>
      <c r="K9" s="5">
        <v>60.56</v>
      </c>
      <c r="L9" s="5">
        <v>233</v>
      </c>
      <c r="M9" s="2" t="s">
        <v>19</v>
      </c>
    </row>
    <row r="10" spans="1:13" ht="15.75" thickBot="1" x14ac:dyDescent="0.3">
      <c r="A10" s="2" t="s">
        <v>17</v>
      </c>
      <c r="B10" s="4">
        <v>42308</v>
      </c>
      <c r="C10" s="5">
        <v>245.97</v>
      </c>
      <c r="D10" s="5">
        <v>274.06</v>
      </c>
      <c r="E10" s="5">
        <v>36.549999999999997</v>
      </c>
      <c r="F10" s="5">
        <v>35.11</v>
      </c>
      <c r="G10" s="5">
        <v>58.72</v>
      </c>
      <c r="H10" s="5">
        <v>35.770000000000003</v>
      </c>
      <c r="I10" s="5">
        <v>1.78</v>
      </c>
      <c r="J10" s="5">
        <v>17.66</v>
      </c>
      <c r="K10" s="5">
        <v>42.32</v>
      </c>
      <c r="L10" s="5">
        <v>340</v>
      </c>
      <c r="M10" s="2" t="s">
        <v>18</v>
      </c>
    </row>
    <row r="11" spans="1:13" ht="15.75" thickBot="1" x14ac:dyDescent="0.3">
      <c r="A11" s="2" t="s">
        <v>17</v>
      </c>
      <c r="B11" s="4">
        <v>42309</v>
      </c>
      <c r="C11" s="5">
        <v>270.95999999999998</v>
      </c>
      <c r="D11" s="5">
        <v>379.38</v>
      </c>
      <c r="E11" s="5">
        <v>60.39</v>
      </c>
      <c r="F11" s="5">
        <v>60.17</v>
      </c>
      <c r="G11" s="5">
        <v>94.74</v>
      </c>
      <c r="H11" s="5">
        <v>51.64</v>
      </c>
      <c r="I11" s="5">
        <v>2.52</v>
      </c>
      <c r="J11" s="5">
        <v>28.58</v>
      </c>
      <c r="K11" s="5">
        <v>84.99</v>
      </c>
      <c r="L11" s="5">
        <v>415</v>
      </c>
      <c r="M11" s="2" t="s">
        <v>20</v>
      </c>
    </row>
    <row r="12" spans="1:13" ht="15.75" thickBot="1" x14ac:dyDescent="0.3">
      <c r="A12" s="2" t="s">
        <v>21</v>
      </c>
      <c r="B12" s="4">
        <v>42436</v>
      </c>
      <c r="C12" s="5">
        <v>78.56</v>
      </c>
      <c r="D12" s="7"/>
      <c r="E12" s="5">
        <v>51.15</v>
      </c>
      <c r="F12" s="5">
        <v>78.83</v>
      </c>
      <c r="G12" s="5">
        <v>47.62</v>
      </c>
      <c r="H12" s="7"/>
      <c r="I12" s="5">
        <v>0.27</v>
      </c>
      <c r="J12" s="5">
        <v>10.039999999999999</v>
      </c>
      <c r="K12" s="5">
        <v>30.93</v>
      </c>
      <c r="L12" s="7"/>
      <c r="M12" s="7"/>
    </row>
    <row r="13" spans="1:13" ht="15.75" thickBot="1" x14ac:dyDescent="0.3">
      <c r="A13" s="2" t="s">
        <v>21</v>
      </c>
      <c r="B13" s="4">
        <v>42437</v>
      </c>
      <c r="C13" s="5">
        <v>97.88</v>
      </c>
      <c r="D13" s="7"/>
      <c r="E13" s="5">
        <v>13.69</v>
      </c>
      <c r="F13" s="5">
        <v>34.119999999999997</v>
      </c>
      <c r="G13" s="5">
        <v>17.260000000000002</v>
      </c>
      <c r="H13" s="7"/>
      <c r="I13" s="7"/>
      <c r="J13" s="5">
        <v>9.58</v>
      </c>
      <c r="K13" s="5">
        <v>28.46</v>
      </c>
      <c r="L13" s="5">
        <v>244</v>
      </c>
      <c r="M13" s="2" t="s">
        <v>19</v>
      </c>
    </row>
    <row r="14" spans="1:13" ht="15.75" thickBot="1" x14ac:dyDescent="0.3">
      <c r="A14" s="2" t="s">
        <v>21</v>
      </c>
      <c r="B14" s="4">
        <v>42438</v>
      </c>
      <c r="C14" s="5">
        <v>539.41</v>
      </c>
      <c r="D14" s="7"/>
      <c r="E14" s="5">
        <v>20.239999999999998</v>
      </c>
      <c r="F14" s="5">
        <v>40.799999999999997</v>
      </c>
      <c r="G14" s="5">
        <v>36.5</v>
      </c>
      <c r="H14" s="7"/>
      <c r="I14" s="5">
        <v>1.36</v>
      </c>
      <c r="J14" s="5">
        <v>7.28</v>
      </c>
      <c r="K14" s="5">
        <v>21.86</v>
      </c>
      <c r="L14" s="5">
        <v>442</v>
      </c>
      <c r="M14" s="2" t="s">
        <v>20</v>
      </c>
    </row>
    <row r="15" spans="1:13" ht="15.75" thickBot="1" x14ac:dyDescent="0.3">
      <c r="A15" s="2" t="s">
        <v>21</v>
      </c>
      <c r="B15" s="4">
        <v>43588</v>
      </c>
      <c r="C15" s="5">
        <v>62.53</v>
      </c>
      <c r="D15" s="5">
        <v>148.15</v>
      </c>
      <c r="E15" s="5">
        <v>17.73</v>
      </c>
      <c r="F15" s="5">
        <v>17.47</v>
      </c>
      <c r="G15" s="5">
        <v>28.1</v>
      </c>
      <c r="H15" s="7"/>
      <c r="I15" s="5">
        <v>0.55000000000000004</v>
      </c>
      <c r="J15" s="5">
        <v>3.76</v>
      </c>
      <c r="K15" s="5">
        <v>53.69</v>
      </c>
      <c r="L15" s="5">
        <v>209</v>
      </c>
      <c r="M15" s="2" t="s">
        <v>19</v>
      </c>
    </row>
    <row r="16" spans="1:13" ht="15.75" thickBot="1" x14ac:dyDescent="0.3">
      <c r="A16" s="2" t="s">
        <v>21</v>
      </c>
      <c r="B16" s="4">
        <v>43855</v>
      </c>
      <c r="C16" s="5">
        <v>84.59</v>
      </c>
      <c r="D16" s="5">
        <v>161.1</v>
      </c>
      <c r="E16" s="5">
        <v>42.89</v>
      </c>
      <c r="F16" s="5">
        <v>38.659999999999997</v>
      </c>
      <c r="G16" s="5">
        <v>59.05</v>
      </c>
      <c r="H16" s="7"/>
      <c r="I16" s="5">
        <v>1.7</v>
      </c>
      <c r="J16" s="5">
        <v>9.3000000000000007</v>
      </c>
      <c r="K16" s="5">
        <v>41.64</v>
      </c>
      <c r="L16" s="5">
        <v>138</v>
      </c>
      <c r="M16" s="2" t="s">
        <v>22</v>
      </c>
    </row>
    <row r="17" spans="1:13" ht="15.75" thickBot="1" x14ac:dyDescent="0.3">
      <c r="A17" s="2" t="s">
        <v>21</v>
      </c>
      <c r="B17" s="4">
        <v>43856</v>
      </c>
      <c r="C17" s="5">
        <v>132.02000000000001</v>
      </c>
      <c r="D17" s="5">
        <v>232.16</v>
      </c>
      <c r="E17" s="5">
        <v>55.58</v>
      </c>
      <c r="F17" s="5">
        <v>35.270000000000003</v>
      </c>
      <c r="G17" s="5">
        <v>68.45</v>
      </c>
      <c r="H17" s="7"/>
      <c r="I17" s="5">
        <v>2.29</v>
      </c>
      <c r="J17" s="5">
        <v>7.79</v>
      </c>
      <c r="K17" s="5">
        <v>28.19</v>
      </c>
      <c r="L17" s="5">
        <v>289</v>
      </c>
      <c r="M17" s="2" t="s">
        <v>19</v>
      </c>
    </row>
    <row r="18" spans="1:13" ht="30" thickBot="1" x14ac:dyDescent="0.3">
      <c r="A18" s="2" t="s">
        <v>23</v>
      </c>
      <c r="B18" s="4">
        <v>42281</v>
      </c>
      <c r="C18" s="5">
        <v>42.69</v>
      </c>
      <c r="D18" s="5">
        <v>59.29</v>
      </c>
      <c r="E18" s="5">
        <v>3.02</v>
      </c>
      <c r="F18" s="5">
        <v>17.809999999999999</v>
      </c>
      <c r="G18" s="5">
        <v>13.74</v>
      </c>
      <c r="H18" s="5">
        <v>14.41</v>
      </c>
      <c r="I18" s="5">
        <v>1.22</v>
      </c>
      <c r="J18" s="5">
        <v>5.41</v>
      </c>
      <c r="K18" s="5">
        <v>21.98</v>
      </c>
      <c r="L18" s="5">
        <v>85</v>
      </c>
      <c r="M18" s="2" t="s">
        <v>15</v>
      </c>
    </row>
    <row r="19" spans="1:13" ht="30" thickBot="1" x14ac:dyDescent="0.3">
      <c r="A19" s="2" t="s">
        <v>23</v>
      </c>
      <c r="B19" s="4">
        <v>42282</v>
      </c>
      <c r="C19" s="5">
        <v>75.040000000000006</v>
      </c>
      <c r="D19" s="5">
        <v>81.99</v>
      </c>
      <c r="E19" s="5">
        <v>2.27</v>
      </c>
      <c r="F19" s="5">
        <v>16.05</v>
      </c>
      <c r="G19" s="5">
        <v>12.57</v>
      </c>
      <c r="H19" s="5">
        <v>15.02</v>
      </c>
      <c r="I19" s="5">
        <v>0.93</v>
      </c>
      <c r="J19" s="5">
        <v>6.88</v>
      </c>
      <c r="K19" s="5">
        <v>33.520000000000003</v>
      </c>
      <c r="L19" s="5">
        <v>113</v>
      </c>
      <c r="M19" s="2" t="s">
        <v>22</v>
      </c>
    </row>
    <row r="20" spans="1:13" ht="30" thickBot="1" x14ac:dyDescent="0.3">
      <c r="A20" s="2" t="s">
        <v>23</v>
      </c>
      <c r="B20" s="4">
        <v>42283</v>
      </c>
      <c r="C20" s="5">
        <v>136.44999999999999</v>
      </c>
      <c r="D20" s="5">
        <v>108.82</v>
      </c>
      <c r="E20" s="5">
        <v>6.29</v>
      </c>
      <c r="F20" s="5">
        <v>11.76</v>
      </c>
      <c r="G20" s="5">
        <v>16.37</v>
      </c>
      <c r="H20" s="5">
        <v>8.6199999999999992</v>
      </c>
      <c r="I20" s="5">
        <v>0.66</v>
      </c>
      <c r="J20" s="5">
        <v>7.34</v>
      </c>
      <c r="K20" s="5">
        <v>32.21</v>
      </c>
      <c r="L20" s="5">
        <v>231</v>
      </c>
      <c r="M20" s="2" t="s">
        <v>19</v>
      </c>
    </row>
    <row r="21" spans="1:13" ht="30" thickBot="1" x14ac:dyDescent="0.3">
      <c r="A21" s="2" t="s">
        <v>23</v>
      </c>
      <c r="B21" s="4">
        <v>42555</v>
      </c>
      <c r="C21" s="5">
        <v>121.18</v>
      </c>
      <c r="D21" s="7"/>
      <c r="E21" s="5">
        <v>2.71</v>
      </c>
      <c r="F21" s="5">
        <v>7.2</v>
      </c>
      <c r="G21" s="5">
        <v>9.91</v>
      </c>
      <c r="H21" s="7"/>
      <c r="I21" s="5">
        <v>1.03</v>
      </c>
      <c r="J21" s="5">
        <v>9.0500000000000007</v>
      </c>
      <c r="K21" s="5">
        <v>9.39</v>
      </c>
      <c r="L21" s="5">
        <v>163</v>
      </c>
      <c r="M21" s="2" t="s">
        <v>22</v>
      </c>
    </row>
    <row r="22" spans="1:13" ht="30" thickBot="1" x14ac:dyDescent="0.3">
      <c r="A22" s="2" t="s">
        <v>23</v>
      </c>
      <c r="B22" s="4">
        <v>42556</v>
      </c>
      <c r="C22" s="5">
        <v>21.64</v>
      </c>
      <c r="D22" s="7"/>
      <c r="E22" s="5">
        <v>6.62</v>
      </c>
      <c r="F22" s="5">
        <v>7.53</v>
      </c>
      <c r="G22" s="5">
        <v>14.15</v>
      </c>
      <c r="H22" s="7"/>
      <c r="I22" s="5">
        <v>1.05</v>
      </c>
      <c r="J22" s="5">
        <v>7.03</v>
      </c>
      <c r="K22" s="5">
        <v>8.83</v>
      </c>
      <c r="L22" s="5">
        <v>252</v>
      </c>
      <c r="M22" s="2" t="s">
        <v>19</v>
      </c>
    </row>
    <row r="23" spans="1:13" ht="30" thickBot="1" x14ac:dyDescent="0.3">
      <c r="A23" s="2" t="s">
        <v>23</v>
      </c>
      <c r="B23" s="4">
        <v>42557</v>
      </c>
      <c r="C23" s="5">
        <v>163.16</v>
      </c>
      <c r="D23" s="7"/>
      <c r="E23" s="5">
        <v>11.35</v>
      </c>
      <c r="F23" s="5">
        <v>10.55</v>
      </c>
      <c r="G23" s="5">
        <v>21.89</v>
      </c>
      <c r="H23" s="7"/>
      <c r="I23" s="5">
        <v>0.32</v>
      </c>
      <c r="J23" s="5">
        <v>13.13</v>
      </c>
      <c r="K23" s="5">
        <v>10.08</v>
      </c>
      <c r="L23" s="5">
        <v>37</v>
      </c>
      <c r="M23" s="2" t="s">
        <v>14</v>
      </c>
    </row>
    <row r="24" spans="1:13" ht="15.75" thickBot="1" x14ac:dyDescent="0.3">
      <c r="A24" s="2" t="s">
        <v>24</v>
      </c>
      <c r="B24" s="4">
        <v>43270</v>
      </c>
      <c r="C24" s="5">
        <v>39.25</v>
      </c>
      <c r="D24" s="5">
        <v>87.24</v>
      </c>
      <c r="E24" s="5">
        <v>2.6</v>
      </c>
      <c r="F24" s="5">
        <v>30.86</v>
      </c>
      <c r="G24" s="5">
        <v>33.450000000000003</v>
      </c>
      <c r="H24" s="5">
        <v>12.06</v>
      </c>
      <c r="I24" s="5">
        <v>1.35</v>
      </c>
      <c r="J24" s="5">
        <v>1.93</v>
      </c>
      <c r="K24" s="5">
        <v>81.12</v>
      </c>
      <c r="L24" s="5">
        <v>148</v>
      </c>
      <c r="M24" s="2" t="s">
        <v>22</v>
      </c>
    </row>
    <row r="25" spans="1:13" ht="15.75" thickBot="1" x14ac:dyDescent="0.3">
      <c r="A25" s="2" t="s">
        <v>24</v>
      </c>
      <c r="B25" s="4">
        <v>43271</v>
      </c>
      <c r="C25" s="5">
        <v>24.44</v>
      </c>
      <c r="D25" s="5">
        <v>53.19</v>
      </c>
      <c r="E25" s="5">
        <v>5.77</v>
      </c>
      <c r="F25" s="5">
        <v>38.03</v>
      </c>
      <c r="G25" s="5">
        <v>43.79</v>
      </c>
      <c r="H25" s="5">
        <v>9.14</v>
      </c>
      <c r="I25" s="5">
        <v>1.7</v>
      </c>
      <c r="J25" s="5">
        <v>6.88</v>
      </c>
      <c r="K25" s="5">
        <v>49.58</v>
      </c>
      <c r="L25" s="5">
        <v>94</v>
      </c>
      <c r="M25" s="2" t="s">
        <v>15</v>
      </c>
    </row>
    <row r="26" spans="1:13" ht="15.75" thickBot="1" x14ac:dyDescent="0.3">
      <c r="A26" s="2" t="s">
        <v>24</v>
      </c>
      <c r="B26" s="4">
        <v>43549</v>
      </c>
      <c r="C26" s="5">
        <v>100.22</v>
      </c>
      <c r="D26" s="5">
        <v>210.26</v>
      </c>
      <c r="E26" s="5">
        <v>62.22</v>
      </c>
      <c r="F26" s="5">
        <v>110.56</v>
      </c>
      <c r="G26" s="5">
        <v>171.26</v>
      </c>
      <c r="H26" s="5">
        <v>35.33</v>
      </c>
      <c r="I26" s="5">
        <v>1.04</v>
      </c>
      <c r="J26" s="5">
        <v>16.5</v>
      </c>
      <c r="K26" s="5">
        <v>39.479999999999997</v>
      </c>
      <c r="L26" s="5">
        <v>226</v>
      </c>
      <c r="M26" s="2" t="s">
        <v>19</v>
      </c>
    </row>
    <row r="27" spans="1:13" ht="15.75" thickBot="1" x14ac:dyDescent="0.3">
      <c r="A27" s="2" t="s">
        <v>24</v>
      </c>
      <c r="B27" s="4">
        <v>43550</v>
      </c>
      <c r="C27" s="5">
        <v>82.49</v>
      </c>
      <c r="D27" s="5">
        <v>174.78</v>
      </c>
      <c r="E27" s="5">
        <v>4.46</v>
      </c>
      <c r="F27" s="5">
        <v>51.51</v>
      </c>
      <c r="G27" s="5">
        <v>55.92</v>
      </c>
      <c r="H27" s="5">
        <v>29.64</v>
      </c>
      <c r="I27" s="5">
        <v>0.63</v>
      </c>
      <c r="J27" s="5">
        <v>7.53</v>
      </c>
      <c r="K27" s="5">
        <v>44.18</v>
      </c>
      <c r="L27" s="5">
        <v>214</v>
      </c>
      <c r="M27" s="2" t="s">
        <v>19</v>
      </c>
    </row>
    <row r="28" spans="1:13" ht="15.75" thickBot="1" x14ac:dyDescent="0.3">
      <c r="A28" s="2" t="s">
        <v>24</v>
      </c>
      <c r="B28" s="4">
        <v>43551</v>
      </c>
      <c r="C28" s="5">
        <v>62.36</v>
      </c>
      <c r="D28" s="5">
        <v>134.81</v>
      </c>
      <c r="E28" s="5">
        <v>5.58</v>
      </c>
      <c r="F28" s="5">
        <v>71.64</v>
      </c>
      <c r="G28" s="5">
        <v>77.2</v>
      </c>
      <c r="H28" s="5">
        <v>26.15</v>
      </c>
      <c r="I28" s="5">
        <v>0.56999999999999995</v>
      </c>
      <c r="J28" s="5">
        <v>18.68</v>
      </c>
      <c r="K28" s="5">
        <v>49.46</v>
      </c>
      <c r="L28" s="5">
        <v>141</v>
      </c>
      <c r="M28" s="2"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08A7-2CB1-43EA-8CFB-F1A5B5651EA5}">
  <dimension ref="A1:P17"/>
  <sheetViews>
    <sheetView workbookViewId="0">
      <selection activeCell="C9" sqref="C9"/>
    </sheetView>
  </sheetViews>
  <sheetFormatPr defaultRowHeight="15" x14ac:dyDescent="0.25"/>
  <cols>
    <col min="1" max="1" width="11.28515625" customWidth="1"/>
    <col min="2" max="2" width="12.85546875" style="3" customWidth="1"/>
    <col min="3" max="3" width="12.85546875" style="11" customWidth="1"/>
    <col min="4" max="4" width="12.85546875" style="3" customWidth="1"/>
    <col min="5" max="5" width="12.85546875" style="11" customWidth="1"/>
    <col min="16" max="16" width="12.5703125" customWidth="1"/>
  </cols>
  <sheetData>
    <row r="1" spans="1:16" ht="30.75" thickBot="1" x14ac:dyDescent="0.3">
      <c r="A1" s="1" t="s">
        <v>0</v>
      </c>
      <c r="B1" s="8" t="s">
        <v>1</v>
      </c>
      <c r="C1" s="12" t="s">
        <v>25</v>
      </c>
      <c r="D1" s="8" t="s">
        <v>26</v>
      </c>
      <c r="E1" s="12" t="s">
        <v>27</v>
      </c>
      <c r="F1" s="1" t="s">
        <v>2</v>
      </c>
      <c r="G1" s="1" t="s">
        <v>3</v>
      </c>
      <c r="H1" s="1" t="s">
        <v>4</v>
      </c>
      <c r="I1" s="1" t="s">
        <v>5</v>
      </c>
      <c r="J1" s="1" t="s">
        <v>6</v>
      </c>
      <c r="K1" s="1" t="s">
        <v>7</v>
      </c>
      <c r="L1" s="1" t="s">
        <v>8</v>
      </c>
      <c r="M1" s="1" t="s">
        <v>9</v>
      </c>
      <c r="N1" s="1" t="s">
        <v>10</v>
      </c>
      <c r="O1" s="1" t="s">
        <v>11</v>
      </c>
      <c r="P1" s="1" t="s">
        <v>12</v>
      </c>
    </row>
    <row r="2" spans="1:16" ht="15.75" thickBot="1" x14ac:dyDescent="0.3">
      <c r="A2" s="2" t="s">
        <v>13</v>
      </c>
      <c r="B2" s="4">
        <v>42613</v>
      </c>
      <c r="C2" s="13">
        <f>YEAR(B2)</f>
        <v>2016</v>
      </c>
      <c r="D2" s="4" t="str">
        <f>TEXT(B2, "mmmm")</f>
        <v>August</v>
      </c>
      <c r="E2" s="13">
        <f>MONTH(B2)</f>
        <v>8</v>
      </c>
      <c r="F2" s="5">
        <v>35.17</v>
      </c>
      <c r="G2" s="5">
        <v>51.69</v>
      </c>
      <c r="H2" s="5">
        <v>3.61</v>
      </c>
      <c r="I2" s="5">
        <v>19.079999999999998</v>
      </c>
      <c r="J2" s="5">
        <v>2.06</v>
      </c>
      <c r="K2" s="5">
        <v>40.409999999999997</v>
      </c>
      <c r="L2" s="5">
        <v>0.41</v>
      </c>
      <c r="M2" s="5">
        <v>3.7</v>
      </c>
      <c r="N2" s="5">
        <v>20.34</v>
      </c>
      <c r="O2" s="5">
        <v>49</v>
      </c>
      <c r="P2" s="2" t="s">
        <v>14</v>
      </c>
    </row>
    <row r="3" spans="1:16" ht="15.75" thickBot="1" x14ac:dyDescent="0.3">
      <c r="A3" s="2" t="s">
        <v>13</v>
      </c>
      <c r="B3" s="4">
        <v>42614</v>
      </c>
      <c r="C3" s="13">
        <f t="shared" ref="C3:C17" si="0">YEAR(B3)</f>
        <v>2016</v>
      </c>
      <c r="D3" s="4" t="str">
        <f t="shared" ref="D3:D17" si="1">TEXT(B3, "mmmm")</f>
        <v>September</v>
      </c>
      <c r="E3" s="13">
        <f t="shared" ref="E3:E17" si="2">MONTH(B3)</f>
        <v>9</v>
      </c>
      <c r="F3" s="5">
        <v>37.57</v>
      </c>
      <c r="G3" s="5">
        <v>46.28</v>
      </c>
      <c r="H3" s="5">
        <v>4.82</v>
      </c>
      <c r="I3" s="5">
        <v>22.32</v>
      </c>
      <c r="J3" s="5">
        <v>2.61</v>
      </c>
      <c r="K3" s="5">
        <v>40.49</v>
      </c>
      <c r="L3" s="5">
        <v>0.46</v>
      </c>
      <c r="M3" s="5">
        <v>3.72</v>
      </c>
      <c r="N3" s="5">
        <v>21.4</v>
      </c>
      <c r="O3" s="5">
        <v>57</v>
      </c>
      <c r="P3" s="2" t="s">
        <v>15</v>
      </c>
    </row>
    <row r="4" spans="1:16" ht="15.75" thickBot="1" x14ac:dyDescent="0.3">
      <c r="A4" s="2" t="s">
        <v>13</v>
      </c>
      <c r="B4" s="4">
        <v>42748</v>
      </c>
      <c r="C4" s="13">
        <f t="shared" si="0"/>
        <v>2017</v>
      </c>
      <c r="D4" s="4" t="str">
        <f t="shared" si="1"/>
        <v>January</v>
      </c>
      <c r="E4" s="13">
        <f t="shared" si="2"/>
        <v>1</v>
      </c>
      <c r="F4" s="5">
        <v>31.22</v>
      </c>
      <c r="G4" s="5">
        <v>108.09</v>
      </c>
      <c r="H4" s="5">
        <v>4.05</v>
      </c>
      <c r="I4" s="5">
        <v>26.86</v>
      </c>
      <c r="J4" s="6" t="s">
        <v>16</v>
      </c>
      <c r="K4" s="5">
        <v>26.04</v>
      </c>
      <c r="L4" s="5">
        <v>0.55000000000000004</v>
      </c>
      <c r="M4" s="5">
        <v>3.67</v>
      </c>
      <c r="N4" s="5">
        <v>50.8</v>
      </c>
      <c r="O4" s="5">
        <v>91</v>
      </c>
      <c r="P4" s="2" t="s">
        <v>15</v>
      </c>
    </row>
    <row r="5" spans="1:16" ht="15.75" thickBot="1" x14ac:dyDescent="0.3">
      <c r="A5" s="2" t="s">
        <v>17</v>
      </c>
      <c r="B5" s="4">
        <v>42305</v>
      </c>
      <c r="C5" s="13">
        <f t="shared" si="0"/>
        <v>2015</v>
      </c>
      <c r="D5" s="4" t="str">
        <f t="shared" si="1"/>
        <v>October</v>
      </c>
      <c r="E5" s="13">
        <f t="shared" si="2"/>
        <v>10</v>
      </c>
      <c r="F5" s="5">
        <v>113.18</v>
      </c>
      <c r="G5" s="5">
        <v>254.24</v>
      </c>
      <c r="H5" s="5">
        <v>32.119999999999997</v>
      </c>
      <c r="I5" s="5">
        <v>43.78</v>
      </c>
      <c r="J5" s="5">
        <v>74.53</v>
      </c>
      <c r="K5" s="5">
        <v>22.81</v>
      </c>
      <c r="L5" s="5">
        <v>2.08</v>
      </c>
      <c r="M5" s="5">
        <v>18.61</v>
      </c>
      <c r="N5" s="5">
        <v>71.98</v>
      </c>
      <c r="O5" s="5">
        <v>333</v>
      </c>
      <c r="P5" s="2" t="s">
        <v>18</v>
      </c>
    </row>
    <row r="6" spans="1:16" ht="15.75" thickBot="1" x14ac:dyDescent="0.3">
      <c r="A6" s="2" t="s">
        <v>17</v>
      </c>
      <c r="B6" s="4">
        <v>42306</v>
      </c>
      <c r="C6" s="13">
        <f t="shared" si="0"/>
        <v>2015</v>
      </c>
      <c r="D6" s="4" t="str">
        <f t="shared" si="1"/>
        <v>October</v>
      </c>
      <c r="E6" s="13">
        <f t="shared" si="2"/>
        <v>10</v>
      </c>
      <c r="F6" s="5">
        <v>93.86</v>
      </c>
      <c r="G6" s="5">
        <v>183.08</v>
      </c>
      <c r="H6" s="5">
        <v>25.74</v>
      </c>
      <c r="I6" s="5">
        <v>57.74</v>
      </c>
      <c r="J6" s="5">
        <v>77.86</v>
      </c>
      <c r="K6" s="5">
        <v>25.55</v>
      </c>
      <c r="L6" s="5">
        <v>1.9</v>
      </c>
      <c r="M6" s="5">
        <v>24.29</v>
      </c>
      <c r="N6" s="5">
        <v>73.260000000000005</v>
      </c>
      <c r="O6" s="5">
        <v>262</v>
      </c>
      <c r="P6" s="2" t="s">
        <v>19</v>
      </c>
    </row>
    <row r="7" spans="1:16" ht="15.75" thickBot="1" x14ac:dyDescent="0.3">
      <c r="A7" s="2" t="s">
        <v>17</v>
      </c>
      <c r="B7" s="4">
        <v>42307</v>
      </c>
      <c r="C7" s="13">
        <f t="shared" si="0"/>
        <v>2015</v>
      </c>
      <c r="D7" s="4" t="str">
        <f t="shared" si="1"/>
        <v>October</v>
      </c>
      <c r="E7" s="13">
        <f t="shared" si="2"/>
        <v>10</v>
      </c>
      <c r="F7" s="5">
        <v>106.16</v>
      </c>
      <c r="G7" s="5">
        <v>156.58000000000001</v>
      </c>
      <c r="H7" s="5">
        <v>24.98</v>
      </c>
      <c r="I7" s="5">
        <v>42.63</v>
      </c>
      <c r="J7" s="5">
        <v>55.71</v>
      </c>
      <c r="K7" s="5">
        <v>28.72</v>
      </c>
      <c r="L7" s="5">
        <v>2.0699999999999998</v>
      </c>
      <c r="M7" s="5">
        <v>18.920000000000002</v>
      </c>
      <c r="N7" s="5">
        <v>60.56</v>
      </c>
      <c r="O7" s="5">
        <v>233</v>
      </c>
      <c r="P7" s="2" t="s">
        <v>19</v>
      </c>
    </row>
    <row r="8" spans="1:16" ht="15.75" thickBot="1" x14ac:dyDescent="0.3">
      <c r="A8" s="2" t="s">
        <v>17</v>
      </c>
      <c r="B8" s="4">
        <v>42308</v>
      </c>
      <c r="C8" s="13">
        <f t="shared" si="0"/>
        <v>2015</v>
      </c>
      <c r="D8" s="4" t="str">
        <f t="shared" si="1"/>
        <v>October</v>
      </c>
      <c r="E8" s="13">
        <f t="shared" si="2"/>
        <v>10</v>
      </c>
      <c r="F8" s="5">
        <v>245.97</v>
      </c>
      <c r="G8" s="5">
        <v>274.06</v>
      </c>
      <c r="H8" s="5">
        <v>36.549999999999997</v>
      </c>
      <c r="I8" s="5">
        <v>35.11</v>
      </c>
      <c r="J8" s="5">
        <v>58.72</v>
      </c>
      <c r="K8" s="5">
        <v>35.770000000000003</v>
      </c>
      <c r="L8" s="5">
        <v>1.78</v>
      </c>
      <c r="M8" s="5">
        <v>17.66</v>
      </c>
      <c r="N8" s="5">
        <v>42.32</v>
      </c>
      <c r="O8" s="5">
        <v>340</v>
      </c>
      <c r="P8" s="2" t="s">
        <v>18</v>
      </c>
    </row>
    <row r="9" spans="1:16" ht="15.75" thickBot="1" x14ac:dyDescent="0.3">
      <c r="A9" s="2" t="s">
        <v>17</v>
      </c>
      <c r="B9" s="4">
        <v>42309</v>
      </c>
      <c r="C9" s="13">
        <f t="shared" si="0"/>
        <v>2015</v>
      </c>
      <c r="D9" s="4" t="str">
        <f t="shared" si="1"/>
        <v>November</v>
      </c>
      <c r="E9" s="13">
        <f t="shared" si="2"/>
        <v>11</v>
      </c>
      <c r="F9" s="5">
        <v>270.95999999999998</v>
      </c>
      <c r="G9" s="5">
        <v>379.38</v>
      </c>
      <c r="H9" s="5">
        <v>60.39</v>
      </c>
      <c r="I9" s="5">
        <v>60.17</v>
      </c>
      <c r="J9" s="5">
        <v>94.74</v>
      </c>
      <c r="K9" s="5">
        <v>51.64</v>
      </c>
      <c r="L9" s="5">
        <v>2.52</v>
      </c>
      <c r="M9" s="5">
        <v>28.58</v>
      </c>
      <c r="N9" s="5">
        <v>84.99</v>
      </c>
      <c r="O9" s="5">
        <v>415</v>
      </c>
      <c r="P9" s="2" t="s">
        <v>20</v>
      </c>
    </row>
    <row r="10" spans="1:16" ht="15.75" thickBot="1" x14ac:dyDescent="0.3">
      <c r="A10" s="2" t="s">
        <v>23</v>
      </c>
      <c r="B10" s="4">
        <v>42281</v>
      </c>
      <c r="C10" s="13">
        <f t="shared" si="0"/>
        <v>2015</v>
      </c>
      <c r="D10" s="4" t="str">
        <f t="shared" si="1"/>
        <v>October</v>
      </c>
      <c r="E10" s="13">
        <f t="shared" si="2"/>
        <v>10</v>
      </c>
      <c r="F10" s="5">
        <v>42.69</v>
      </c>
      <c r="G10" s="5">
        <v>59.29</v>
      </c>
      <c r="H10" s="5">
        <v>3.02</v>
      </c>
      <c r="I10" s="5">
        <v>17.809999999999999</v>
      </c>
      <c r="J10" s="5">
        <v>13.74</v>
      </c>
      <c r="K10" s="5">
        <v>14.41</v>
      </c>
      <c r="L10" s="5">
        <v>1.22</v>
      </c>
      <c r="M10" s="5">
        <v>5.41</v>
      </c>
      <c r="N10" s="5">
        <v>21.98</v>
      </c>
      <c r="O10" s="5">
        <v>85</v>
      </c>
      <c r="P10" s="2" t="s">
        <v>15</v>
      </c>
    </row>
    <row r="11" spans="1:16" ht="15.75" thickBot="1" x14ac:dyDescent="0.3">
      <c r="A11" s="2" t="s">
        <v>23</v>
      </c>
      <c r="B11" s="4">
        <v>42282</v>
      </c>
      <c r="C11" s="13">
        <f t="shared" si="0"/>
        <v>2015</v>
      </c>
      <c r="D11" s="4" t="str">
        <f t="shared" si="1"/>
        <v>October</v>
      </c>
      <c r="E11" s="13">
        <f t="shared" si="2"/>
        <v>10</v>
      </c>
      <c r="F11" s="5">
        <v>75.040000000000006</v>
      </c>
      <c r="G11" s="5">
        <v>81.99</v>
      </c>
      <c r="H11" s="5">
        <v>2.27</v>
      </c>
      <c r="I11" s="5">
        <v>16.05</v>
      </c>
      <c r="J11" s="5">
        <v>12.57</v>
      </c>
      <c r="K11" s="5">
        <v>15.02</v>
      </c>
      <c r="L11" s="5">
        <v>0.93</v>
      </c>
      <c r="M11" s="5">
        <v>6.88</v>
      </c>
      <c r="N11" s="5">
        <v>33.520000000000003</v>
      </c>
      <c r="O11" s="5">
        <v>113</v>
      </c>
      <c r="P11" s="2" t="s">
        <v>22</v>
      </c>
    </row>
    <row r="12" spans="1:16" ht="15.75" thickBot="1" x14ac:dyDescent="0.3">
      <c r="A12" s="2" t="s">
        <v>23</v>
      </c>
      <c r="B12" s="4">
        <v>42283</v>
      </c>
      <c r="C12" s="13">
        <f t="shared" si="0"/>
        <v>2015</v>
      </c>
      <c r="D12" s="4" t="str">
        <f t="shared" si="1"/>
        <v>October</v>
      </c>
      <c r="E12" s="13">
        <f t="shared" si="2"/>
        <v>10</v>
      </c>
      <c r="F12" s="5">
        <v>136.44999999999999</v>
      </c>
      <c r="G12" s="5">
        <v>108.82</v>
      </c>
      <c r="H12" s="5">
        <v>6.29</v>
      </c>
      <c r="I12" s="5">
        <v>11.76</v>
      </c>
      <c r="J12" s="5">
        <v>16.37</v>
      </c>
      <c r="K12" s="5">
        <v>8.6199999999999992</v>
      </c>
      <c r="L12" s="5">
        <v>0.66</v>
      </c>
      <c r="M12" s="5">
        <v>7.34</v>
      </c>
      <c r="N12" s="5">
        <v>32.21</v>
      </c>
      <c r="O12" s="5">
        <v>231</v>
      </c>
      <c r="P12" s="2" t="s">
        <v>19</v>
      </c>
    </row>
    <row r="13" spans="1:16" ht="15.75" thickBot="1" x14ac:dyDescent="0.3">
      <c r="A13" s="2" t="s">
        <v>24</v>
      </c>
      <c r="B13" s="4">
        <v>43270</v>
      </c>
      <c r="C13" s="13">
        <f t="shared" si="0"/>
        <v>2018</v>
      </c>
      <c r="D13" s="4" t="str">
        <f t="shared" si="1"/>
        <v>June</v>
      </c>
      <c r="E13" s="13">
        <f t="shared" si="2"/>
        <v>6</v>
      </c>
      <c r="F13" s="5">
        <v>39.25</v>
      </c>
      <c r="G13" s="5">
        <v>87.24</v>
      </c>
      <c r="H13" s="5">
        <v>2.6</v>
      </c>
      <c r="I13" s="5">
        <v>30.86</v>
      </c>
      <c r="J13" s="5">
        <v>33.450000000000003</v>
      </c>
      <c r="K13" s="5">
        <v>12.06</v>
      </c>
      <c r="L13" s="5">
        <v>1.35</v>
      </c>
      <c r="M13" s="5">
        <v>1.93</v>
      </c>
      <c r="N13" s="5">
        <v>81.12</v>
      </c>
      <c r="O13" s="5">
        <v>148</v>
      </c>
      <c r="P13" s="2" t="s">
        <v>22</v>
      </c>
    </row>
    <row r="14" spans="1:16" ht="15.75" thickBot="1" x14ac:dyDescent="0.3">
      <c r="A14" s="2" t="s">
        <v>24</v>
      </c>
      <c r="B14" s="4">
        <v>43271</v>
      </c>
      <c r="C14" s="13">
        <f t="shared" si="0"/>
        <v>2018</v>
      </c>
      <c r="D14" s="4" t="str">
        <f t="shared" si="1"/>
        <v>June</v>
      </c>
      <c r="E14" s="13">
        <f t="shared" si="2"/>
        <v>6</v>
      </c>
      <c r="F14" s="5">
        <v>24.44</v>
      </c>
      <c r="G14" s="5">
        <v>53.19</v>
      </c>
      <c r="H14" s="5">
        <v>5.77</v>
      </c>
      <c r="I14" s="5">
        <v>38.03</v>
      </c>
      <c r="J14" s="5">
        <v>43.79</v>
      </c>
      <c r="K14" s="5">
        <v>9.14</v>
      </c>
      <c r="L14" s="5">
        <v>1.7</v>
      </c>
      <c r="M14" s="5">
        <v>6.88</v>
      </c>
      <c r="N14" s="5">
        <v>49.58</v>
      </c>
      <c r="O14" s="5">
        <v>94</v>
      </c>
      <c r="P14" s="2" t="s">
        <v>15</v>
      </c>
    </row>
    <row r="15" spans="1:16" ht="15.75" thickBot="1" x14ac:dyDescent="0.3">
      <c r="A15" s="2" t="s">
        <v>24</v>
      </c>
      <c r="B15" s="4">
        <v>43549</v>
      </c>
      <c r="C15" s="13">
        <f t="shared" si="0"/>
        <v>2019</v>
      </c>
      <c r="D15" s="4" t="str">
        <f t="shared" si="1"/>
        <v>March</v>
      </c>
      <c r="E15" s="13">
        <f t="shared" si="2"/>
        <v>3</v>
      </c>
      <c r="F15" s="5">
        <v>100.22</v>
      </c>
      <c r="G15" s="5">
        <v>210.26</v>
      </c>
      <c r="H15" s="5">
        <v>62.22</v>
      </c>
      <c r="I15" s="5">
        <v>110.56</v>
      </c>
      <c r="J15" s="5">
        <v>171.26</v>
      </c>
      <c r="K15" s="5">
        <v>35.33</v>
      </c>
      <c r="L15" s="5">
        <v>1.04</v>
      </c>
      <c r="M15" s="5">
        <v>16.5</v>
      </c>
      <c r="N15" s="5">
        <v>39.479999999999997</v>
      </c>
      <c r="O15" s="5">
        <v>226</v>
      </c>
      <c r="P15" s="2" t="s">
        <v>19</v>
      </c>
    </row>
    <row r="16" spans="1:16" ht="15.75" thickBot="1" x14ac:dyDescent="0.3">
      <c r="A16" s="2" t="s">
        <v>24</v>
      </c>
      <c r="B16" s="4">
        <v>43550</v>
      </c>
      <c r="C16" s="13">
        <f t="shared" si="0"/>
        <v>2019</v>
      </c>
      <c r="D16" s="4" t="str">
        <f t="shared" si="1"/>
        <v>March</v>
      </c>
      <c r="E16" s="13">
        <f t="shared" si="2"/>
        <v>3</v>
      </c>
      <c r="F16" s="5">
        <v>82.49</v>
      </c>
      <c r="G16" s="5">
        <v>174.78</v>
      </c>
      <c r="H16" s="5">
        <v>4.46</v>
      </c>
      <c r="I16" s="5">
        <v>51.51</v>
      </c>
      <c r="J16" s="5">
        <v>55.92</v>
      </c>
      <c r="K16" s="5">
        <v>29.64</v>
      </c>
      <c r="L16" s="5">
        <v>0.63</v>
      </c>
      <c r="M16" s="5">
        <v>7.53</v>
      </c>
      <c r="N16" s="5">
        <v>44.18</v>
      </c>
      <c r="O16" s="5">
        <v>214</v>
      </c>
      <c r="P16" s="2" t="s">
        <v>19</v>
      </c>
    </row>
    <row r="17" spans="1:16" ht="15.75" thickBot="1" x14ac:dyDescent="0.3">
      <c r="A17" s="2" t="s">
        <v>24</v>
      </c>
      <c r="B17" s="4">
        <v>43551</v>
      </c>
      <c r="C17" s="13">
        <f t="shared" si="0"/>
        <v>2019</v>
      </c>
      <c r="D17" s="4" t="str">
        <f t="shared" si="1"/>
        <v>March</v>
      </c>
      <c r="E17" s="13">
        <f t="shared" si="2"/>
        <v>3</v>
      </c>
      <c r="F17" s="5">
        <v>62.36</v>
      </c>
      <c r="G17" s="5">
        <v>134.81</v>
      </c>
      <c r="H17" s="5">
        <v>5.58</v>
      </c>
      <c r="I17" s="5">
        <v>71.64</v>
      </c>
      <c r="J17" s="5">
        <v>77.2</v>
      </c>
      <c r="K17" s="5">
        <v>26.15</v>
      </c>
      <c r="L17" s="5">
        <v>0.56999999999999995</v>
      </c>
      <c r="M17" s="5">
        <v>18.68</v>
      </c>
      <c r="N17" s="5">
        <v>49.46</v>
      </c>
      <c r="O17" s="5">
        <v>141</v>
      </c>
      <c r="P17" s="2"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3E84-3904-47D8-9311-863ADAD652B6}">
  <dimension ref="A2:E28"/>
  <sheetViews>
    <sheetView showGridLines="0" workbookViewId="0">
      <selection activeCell="D6" sqref="D6"/>
    </sheetView>
  </sheetViews>
  <sheetFormatPr defaultRowHeight="15" x14ac:dyDescent="0.25"/>
  <cols>
    <col min="1" max="1" width="11.28515625" bestFit="1" customWidth="1"/>
    <col min="2" max="2" width="14.42578125" bestFit="1" customWidth="1"/>
    <col min="3" max="3" width="53.28515625" customWidth="1"/>
    <col min="4" max="4" width="11.28515625" bestFit="1" customWidth="1"/>
    <col min="5" max="5" width="19.5703125" customWidth="1"/>
    <col min="6" max="6" width="64.7109375" customWidth="1"/>
    <col min="7" max="7" width="13.5703125" bestFit="1" customWidth="1"/>
    <col min="8" max="8" width="19.5703125" bestFit="1" customWidth="1"/>
  </cols>
  <sheetData>
    <row r="2" spans="1:5" x14ac:dyDescent="0.25">
      <c r="A2" s="15" t="s">
        <v>41</v>
      </c>
      <c r="B2" s="15"/>
      <c r="D2" s="15" t="s">
        <v>42</v>
      </c>
      <c r="E2" s="15"/>
    </row>
    <row r="3" spans="1:5" x14ac:dyDescent="0.25">
      <c r="A3" s="9" t="s">
        <v>0</v>
      </c>
      <c r="B3" t="s">
        <v>36</v>
      </c>
      <c r="D3" s="9" t="s">
        <v>26</v>
      </c>
      <c r="E3" t="s">
        <v>36</v>
      </c>
    </row>
    <row r="4" spans="1:5" x14ac:dyDescent="0.25">
      <c r="A4" s="10" t="s">
        <v>13</v>
      </c>
      <c r="B4" s="11">
        <v>65.666666666666671</v>
      </c>
      <c r="D4" s="10" t="s">
        <v>34</v>
      </c>
      <c r="E4" s="11">
        <v>49</v>
      </c>
    </row>
    <row r="5" spans="1:5" x14ac:dyDescent="0.25">
      <c r="A5" s="10" t="s">
        <v>17</v>
      </c>
      <c r="B5" s="11">
        <v>316.60000000000002</v>
      </c>
      <c r="D5" s="10" t="s">
        <v>32</v>
      </c>
      <c r="E5" s="11">
        <v>91</v>
      </c>
    </row>
    <row r="6" spans="1:5" x14ac:dyDescent="0.25">
      <c r="A6" s="10" t="s">
        <v>23</v>
      </c>
      <c r="B6" s="11">
        <v>143</v>
      </c>
      <c r="D6" s="10" t="s">
        <v>29</v>
      </c>
      <c r="E6" s="11">
        <v>121</v>
      </c>
    </row>
    <row r="7" spans="1:5" x14ac:dyDescent="0.25">
      <c r="A7" s="10" t="s">
        <v>24</v>
      </c>
      <c r="B7" s="11">
        <v>164.6</v>
      </c>
      <c r="D7" s="10" t="s">
        <v>28</v>
      </c>
      <c r="E7" s="11">
        <v>193.66666666666666</v>
      </c>
    </row>
    <row r="8" spans="1:5" x14ac:dyDescent="0.25">
      <c r="A8" s="10" t="s">
        <v>35</v>
      </c>
      <c r="B8" s="11">
        <v>189.5</v>
      </c>
      <c r="D8" s="10" t="s">
        <v>31</v>
      </c>
      <c r="E8" s="11">
        <v>415</v>
      </c>
    </row>
    <row r="9" spans="1:5" x14ac:dyDescent="0.25">
      <c r="D9" s="10" t="s">
        <v>30</v>
      </c>
      <c r="E9" s="11">
        <v>228.14285714285714</v>
      </c>
    </row>
    <row r="10" spans="1:5" x14ac:dyDescent="0.25">
      <c r="D10" s="10" t="s">
        <v>33</v>
      </c>
      <c r="E10" s="11">
        <v>57</v>
      </c>
    </row>
    <row r="11" spans="1:5" x14ac:dyDescent="0.25">
      <c r="D11" s="10" t="s">
        <v>35</v>
      </c>
      <c r="E11" s="11">
        <v>189.5</v>
      </c>
    </row>
    <row r="14" spans="1:5" x14ac:dyDescent="0.25">
      <c r="A14" s="15" t="s">
        <v>44</v>
      </c>
      <c r="B14" s="15"/>
    </row>
    <row r="15" spans="1:5" x14ac:dyDescent="0.25">
      <c r="A15" s="9" t="s">
        <v>0</v>
      </c>
      <c r="B15" t="s">
        <v>38</v>
      </c>
      <c r="D15" s="15" t="s">
        <v>43</v>
      </c>
      <c r="E15" s="15"/>
    </row>
    <row r="16" spans="1:5" x14ac:dyDescent="0.25">
      <c r="A16" s="10" t="s">
        <v>13</v>
      </c>
      <c r="B16" s="11">
        <v>34.653333333333336</v>
      </c>
      <c r="D16" s="9" t="s">
        <v>12</v>
      </c>
      <c r="E16" t="s">
        <v>37</v>
      </c>
    </row>
    <row r="17" spans="1:5" x14ac:dyDescent="0.25">
      <c r="A17" s="10" t="s">
        <v>17</v>
      </c>
      <c r="B17" s="11">
        <v>166.02600000000001</v>
      </c>
      <c r="D17" s="10" t="s">
        <v>14</v>
      </c>
      <c r="E17" s="11">
        <v>1</v>
      </c>
    </row>
    <row r="18" spans="1:5" x14ac:dyDescent="0.25">
      <c r="A18" s="10" t="s">
        <v>23</v>
      </c>
      <c r="B18" s="11">
        <v>84.726666666666674</v>
      </c>
      <c r="D18" s="10" t="s">
        <v>22</v>
      </c>
      <c r="E18" s="11">
        <v>3</v>
      </c>
    </row>
    <row r="19" spans="1:5" x14ac:dyDescent="0.25">
      <c r="A19" s="10" t="s">
        <v>24</v>
      </c>
      <c r="B19" s="11">
        <v>61.751999999999995</v>
      </c>
      <c r="D19" s="10" t="s">
        <v>19</v>
      </c>
      <c r="E19" s="11">
        <v>5</v>
      </c>
    </row>
    <row r="20" spans="1:5" x14ac:dyDescent="0.25">
      <c r="A20" s="10" t="s">
        <v>35</v>
      </c>
      <c r="B20" s="11">
        <v>93.564374999999998</v>
      </c>
      <c r="D20" s="10" t="s">
        <v>15</v>
      </c>
      <c r="E20" s="11">
        <v>4</v>
      </c>
    </row>
    <row r="21" spans="1:5" x14ac:dyDescent="0.25">
      <c r="D21" s="10" t="s">
        <v>20</v>
      </c>
      <c r="E21" s="11">
        <v>1</v>
      </c>
    </row>
    <row r="22" spans="1:5" x14ac:dyDescent="0.25">
      <c r="A22" s="15" t="s">
        <v>45</v>
      </c>
      <c r="B22" s="15"/>
      <c r="D22" s="10" t="s">
        <v>18</v>
      </c>
      <c r="E22" s="11">
        <v>2</v>
      </c>
    </row>
    <row r="23" spans="1:5" x14ac:dyDescent="0.25">
      <c r="A23" s="9" t="s">
        <v>0</v>
      </c>
      <c r="B23" t="s">
        <v>39</v>
      </c>
      <c r="D23" s="10" t="s">
        <v>35</v>
      </c>
      <c r="E23" s="11">
        <v>16</v>
      </c>
    </row>
    <row r="24" spans="1:5" x14ac:dyDescent="0.25">
      <c r="A24" s="10" t="s">
        <v>13</v>
      </c>
      <c r="B24" s="11">
        <v>68.686666666666667</v>
      </c>
    </row>
    <row r="25" spans="1:5" x14ac:dyDescent="0.25">
      <c r="A25" s="10" t="s">
        <v>17</v>
      </c>
      <c r="B25" s="11">
        <v>249.46800000000002</v>
      </c>
    </row>
    <row r="26" spans="1:5" x14ac:dyDescent="0.25">
      <c r="A26" s="10" t="s">
        <v>23</v>
      </c>
      <c r="B26" s="11">
        <v>83.36666666666666</v>
      </c>
    </row>
    <row r="27" spans="1:5" x14ac:dyDescent="0.25">
      <c r="A27" s="10" t="s">
        <v>24</v>
      </c>
      <c r="B27" s="11">
        <v>132.05599999999998</v>
      </c>
    </row>
    <row r="28" spans="1:5" x14ac:dyDescent="0.25">
      <c r="A28" s="10" t="s">
        <v>35</v>
      </c>
      <c r="B28" s="11">
        <v>147.73625000000001</v>
      </c>
    </row>
  </sheetData>
  <mergeCells count="5">
    <mergeCell ref="A2:B2"/>
    <mergeCell ref="D2:E2"/>
    <mergeCell ref="D15:E15"/>
    <mergeCell ref="A14:B14"/>
    <mergeCell ref="A22:B22"/>
  </mergeCells>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B0C1-B99B-488C-AA39-00A3468727A1}">
  <dimension ref="A1:T60"/>
  <sheetViews>
    <sheetView showGridLines="0" tabSelected="1" topLeftCell="A33" zoomScaleNormal="100" workbookViewId="0">
      <selection activeCell="J46" sqref="J46"/>
    </sheetView>
  </sheetViews>
  <sheetFormatPr defaultRowHeight="15" customHeight="1" x14ac:dyDescent="0.25"/>
  <cols>
    <col min="1" max="3" width="9.140625" customWidth="1"/>
    <col min="5" max="5" width="9.140625" customWidth="1"/>
    <col min="13" max="14" width="9.140625" customWidth="1"/>
  </cols>
  <sheetData>
    <row r="1" spans="1:20" ht="15" customHeight="1" x14ac:dyDescent="0.25">
      <c r="A1" s="17" t="s">
        <v>40</v>
      </c>
      <c r="B1" s="17"/>
      <c r="C1" s="17"/>
      <c r="D1" s="17"/>
      <c r="E1" s="17"/>
      <c r="F1" s="17"/>
      <c r="G1" s="17"/>
      <c r="H1" s="17"/>
      <c r="I1" s="17"/>
      <c r="J1" s="17"/>
      <c r="K1" s="17"/>
      <c r="L1" s="17"/>
      <c r="M1" s="17"/>
      <c r="N1" s="17"/>
      <c r="O1" s="17"/>
      <c r="P1" s="17"/>
      <c r="Q1" s="17"/>
      <c r="R1" s="17"/>
      <c r="S1" s="17"/>
      <c r="T1" s="17"/>
    </row>
    <row r="2" spans="1:20" ht="15" customHeight="1" x14ac:dyDescent="0.25">
      <c r="A2" s="17"/>
      <c r="B2" s="17"/>
      <c r="C2" s="17"/>
      <c r="D2" s="17"/>
      <c r="E2" s="17"/>
      <c r="F2" s="17"/>
      <c r="G2" s="17"/>
      <c r="H2" s="17"/>
      <c r="I2" s="17"/>
      <c r="J2" s="17"/>
      <c r="K2" s="17"/>
      <c r="L2" s="17"/>
      <c r="M2" s="17"/>
      <c r="N2" s="17"/>
      <c r="O2" s="17"/>
      <c r="P2" s="17"/>
      <c r="Q2" s="17"/>
      <c r="R2" s="17"/>
      <c r="S2" s="17"/>
      <c r="T2" s="17"/>
    </row>
    <row r="56" spans="1:1" s="18" customFormat="1" ht="15" customHeight="1" x14ac:dyDescent="0.25">
      <c r="A56" s="18" t="s">
        <v>48</v>
      </c>
    </row>
    <row r="57" spans="1:1" s="16" customFormat="1" ht="15" customHeight="1" x14ac:dyDescent="0.25">
      <c r="A57" s="16" t="s">
        <v>46</v>
      </c>
    </row>
    <row r="58" spans="1:1" s="16" customFormat="1" ht="15" customHeight="1" x14ac:dyDescent="0.25">
      <c r="A58" s="16" t="s">
        <v>47</v>
      </c>
    </row>
    <row r="60" spans="1:1" s="14" customFormat="1" ht="15" customHeight="1" x14ac:dyDescent="0.25"/>
  </sheetData>
  <mergeCells count="4">
    <mergeCell ref="A58:XFD58"/>
    <mergeCell ref="A1:T2"/>
    <mergeCell ref="A56:XFD56"/>
    <mergeCell ref="A57:XFD5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 Data</vt:lpstr>
      <vt:lpstr>Clean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subhadip gorai</dc:creator>
  <cp:lastModifiedBy>subhadip gorai</cp:lastModifiedBy>
  <dcterms:created xsi:type="dcterms:W3CDTF">2026-07-18T13:35:26Z</dcterms:created>
  <dcterms:modified xsi:type="dcterms:W3CDTF">2026-08-18T06:56:11Z</dcterms:modified>
</cp:coreProperties>
</file>